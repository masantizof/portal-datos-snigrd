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D13D070-F907-4FDD-9AA2-7E74070833D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Temperatura!$AF$1:$AF$212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Q211" i="1"/>
  <c r="AS211" i="1" s="1"/>
  <c r="AP211" i="1"/>
  <c r="AR210" i="1"/>
  <c r="AQ210" i="1"/>
  <c r="AS210" i="1" s="1"/>
  <c r="AP210" i="1"/>
  <c r="AR209" i="1"/>
  <c r="AP209" i="1"/>
  <c r="AQ209" i="1" s="1"/>
  <c r="AS209" i="1" s="1"/>
  <c r="AR208" i="1"/>
  <c r="AQ208" i="1"/>
  <c r="AS208" i="1" s="1"/>
  <c r="AP208" i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Q153" i="1"/>
  <c r="AS153" i="1" s="1"/>
  <c r="AP153" i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Q148" i="1"/>
  <c r="AS148" i="1" s="1"/>
  <c r="AP148" i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Q138" i="1"/>
  <c r="AS138" i="1" s="1"/>
  <c r="AP138" i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Q128" i="1"/>
  <c r="AS128" i="1" s="1"/>
  <c r="AP128" i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Q48" i="1"/>
  <c r="AS48" i="1" s="1"/>
  <c r="AP48" i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<sst xmlns="http://schemas.openxmlformats.org/spreadsheetml/2006/main" count="3690" uniqueCount="1514">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</sst>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R1" zoomScale="80" zoomScaleNormal="80" workbookViewId="0">
      <selection activeCell="AJ5" sqref="AJ5:AJ31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3" width="32.42578125" style="50" customWidth="1"/>
    <col min="114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>
        <v>27.8</v>
      </c>
      <c r="AI5" s="56">
        <v>28.8</v>
      </c>
      <c r="AJ5" s="56">
        <v>29.5</v>
      </c>
      <c r="AK5" s="56"/>
      <c r="AL5" s="56"/>
      <c r="AM5" s="56"/>
      <c r="AN5" s="56"/>
      <c r="AO5" s="56"/>
      <c r="AP5" s="58">
        <f t="shared" ref="AP5:AP68" si="0">COUNTIF(K5:AO5,"&gt;0")</f>
        <v>26</v>
      </c>
      <c r="AQ5" s="71">
        <f t="shared" ref="AQ5:AQ68" si="1">IF(AP5&gt;14,AVERAGE(K5:AO5),"")</f>
        <v>28.830769230769228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0.6775543417979577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>
        <v>27.5</v>
      </c>
      <c r="AI6" s="56">
        <v>29.2</v>
      </c>
      <c r="AJ6" s="56">
        <v>29.1</v>
      </c>
      <c r="AK6" s="56"/>
      <c r="AL6" s="56"/>
      <c r="AM6" s="56"/>
      <c r="AN6" s="56"/>
      <c r="AO6" s="56"/>
      <c r="AP6" s="58">
        <f t="shared" si="0"/>
        <v>26</v>
      </c>
      <c r="AQ6" s="71">
        <f t="shared" si="1"/>
        <v>28.842307692307692</v>
      </c>
      <c r="AR6" s="71">
        <f>IFERROR(VLOOKUP(A6,Climatologia_TMED!A:U,9+$E$2,FALSE),"")</f>
        <v>28.39523388894882</v>
      </c>
      <c r="AS6" s="71">
        <f t="shared" si="2"/>
        <v>0.44707380335887237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>
        <v>28.8</v>
      </c>
      <c r="AI7" s="56">
        <v>31</v>
      </c>
      <c r="AJ7" s="56">
        <v>31.5</v>
      </c>
      <c r="AK7" s="56"/>
      <c r="AL7" s="56"/>
      <c r="AM7" s="56"/>
      <c r="AN7" s="56"/>
      <c r="AO7" s="56"/>
      <c r="AP7" s="58">
        <f t="shared" si="0"/>
        <v>26</v>
      </c>
      <c r="AQ7" s="71">
        <f t="shared" si="1"/>
        <v>31.446153846153848</v>
      </c>
      <c r="AR7" s="71">
        <f>IFERROR(VLOOKUP(A7,Climatologia_TMED!A:U,9+$E$2,FALSE),"")</f>
        <v>29.20018049155146</v>
      </c>
      <c r="AS7" s="71">
        <f t="shared" si="2"/>
        <v>2.2459733546023877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>
        <v>28.4</v>
      </c>
      <c r="AI8" s="56">
        <v>29.5</v>
      </c>
      <c r="AJ8" s="56">
        <v>29.4</v>
      </c>
      <c r="AK8" s="56"/>
      <c r="AL8" s="56"/>
      <c r="AM8" s="56"/>
      <c r="AN8" s="56"/>
      <c r="AO8" s="56"/>
      <c r="AP8" s="58">
        <f t="shared" si="0"/>
        <v>26</v>
      </c>
      <c r="AQ8" s="71">
        <f t="shared" si="1"/>
        <v>29.700000000000003</v>
      </c>
      <c r="AR8" s="71">
        <f>IFERROR(VLOOKUP(A8,Climatologia_TMED!A:U,9+$E$2,FALSE),"")</f>
        <v>28.578539316171401</v>
      </c>
      <c r="AS8" s="71">
        <f t="shared" si="2"/>
        <v>1.1214606838286016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>
        <v>28.7</v>
      </c>
      <c r="AI9" s="56">
        <v>29.2</v>
      </c>
      <c r="AJ9" s="56">
        <v>28.9</v>
      </c>
      <c r="AK9" s="56"/>
      <c r="AL9" s="56"/>
      <c r="AM9" s="56"/>
      <c r="AN9" s="56"/>
      <c r="AO9" s="56"/>
      <c r="AP9" s="58">
        <f t="shared" si="0"/>
        <v>26</v>
      </c>
      <c r="AQ9" s="71">
        <f t="shared" si="1"/>
        <v>29.36538461538462</v>
      </c>
      <c r="AR9" s="71">
        <f>IFERROR(VLOOKUP(A9,Climatologia_TMED!A:U,9+$E$2,FALSE),"")</f>
        <v>29.78746898263023</v>
      </c>
      <c r="AS9" s="71">
        <f t="shared" si="2"/>
        <v>-0.42208436724560983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>
        <v>31.7</v>
      </c>
      <c r="AI10" s="56">
        <v>30.5</v>
      </c>
      <c r="AJ10" s="56">
        <v>31.4</v>
      </c>
      <c r="AK10" s="56"/>
      <c r="AL10" s="56"/>
      <c r="AM10" s="56"/>
      <c r="AN10" s="56"/>
      <c r="AO10" s="56"/>
      <c r="AP10" s="58">
        <f t="shared" si="0"/>
        <v>26</v>
      </c>
      <c r="AQ10" s="71">
        <f t="shared" si="1"/>
        <v>31.673076923076923</v>
      </c>
      <c r="AR10" s="71">
        <f>IFERROR(VLOOKUP(A10,Climatologia_TMED!A:U,9+$E$2,FALSE),"")</f>
        <v>30.079422034405059</v>
      </c>
      <c r="AS10" s="71">
        <f t="shared" si="2"/>
        <v>1.593654888671864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>
        <v>31.7</v>
      </c>
      <c r="AI11" s="56">
        <v>33.200000000000003</v>
      </c>
      <c r="AJ11" s="56">
        <v>30.9</v>
      </c>
      <c r="AK11" s="56"/>
      <c r="AL11" s="56"/>
      <c r="AM11" s="56"/>
      <c r="AN11" s="56"/>
      <c r="AO11" s="56"/>
      <c r="AP11" s="58">
        <f t="shared" si="0"/>
        <v>26</v>
      </c>
      <c r="AQ11" s="71">
        <f t="shared" si="1"/>
        <v>32.58461538461539</v>
      </c>
      <c r="AR11" s="71">
        <f>IFERROR(VLOOKUP(A11,Climatologia_TMED!A:U,9+$E$2,FALSE),"")</f>
        <v>30.003914077227851</v>
      </c>
      <c r="AS11" s="71">
        <f t="shared" si="2"/>
        <v>2.5807013073875389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>
        <v>29.2</v>
      </c>
      <c r="AI12" s="56">
        <v>30.9</v>
      </c>
      <c r="AJ12" s="56">
        <v>28.3</v>
      </c>
      <c r="AK12" s="56"/>
      <c r="AL12" s="56"/>
      <c r="AM12" s="56"/>
      <c r="AN12" s="56"/>
      <c r="AO12" s="56"/>
      <c r="AP12" s="58">
        <f t="shared" si="0"/>
        <v>26</v>
      </c>
      <c r="AQ12" s="71">
        <f t="shared" si="1"/>
        <v>30.046153846153839</v>
      </c>
      <c r="AR12" s="71">
        <f>IFERROR(VLOOKUP(A12,Climatologia_TMED!A:U,9+$E$2,FALSE),"")</f>
        <v>28.26566638931558</v>
      </c>
      <c r="AS12" s="71">
        <f t="shared" si="2"/>
        <v>1.7804874568382587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>
        <v>29.6</v>
      </c>
      <c r="AI13" s="56">
        <v>30.3</v>
      </c>
      <c r="AJ13" s="56">
        <v>29.1</v>
      </c>
      <c r="AK13" s="56"/>
      <c r="AL13" s="56"/>
      <c r="AM13" s="56"/>
      <c r="AN13" s="56"/>
      <c r="AO13" s="56"/>
      <c r="AP13" s="58">
        <f t="shared" si="0"/>
        <v>26</v>
      </c>
      <c r="AQ13" s="71">
        <f t="shared" si="1"/>
        <v>29.919230769230765</v>
      </c>
      <c r="AR13" s="71">
        <f>IFERROR(VLOOKUP(A13,Climatologia_TMED!A:U,9+$E$2,FALSE),"")</f>
        <v>28.329394697812361</v>
      </c>
      <c r="AS13" s="71">
        <f t="shared" si="2"/>
        <v>1.5898360714184037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>
        <v>22.4</v>
      </c>
      <c r="AI14" s="56">
        <v>23.1</v>
      </c>
      <c r="AJ14" s="56">
        <v>23.6</v>
      </c>
      <c r="AK14" s="56"/>
      <c r="AL14" s="56"/>
      <c r="AM14" s="56"/>
      <c r="AN14" s="56"/>
      <c r="AO14" s="56"/>
      <c r="AP14" s="58">
        <f t="shared" si="0"/>
        <v>26</v>
      </c>
      <c r="AQ14" s="71">
        <f t="shared" si="1"/>
        <v>23.599999999999998</v>
      </c>
      <c r="AR14" s="71">
        <f>IFERROR(VLOOKUP(A14,Climatologia_TMED!A:U,9+$E$2,FALSE),"")</f>
        <v>21.72154002389485</v>
      </c>
      <c r="AS14" s="71">
        <f t="shared" si="2"/>
        <v>1.8784599761051481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>
        <v>31</v>
      </c>
      <c r="AI15" s="56">
        <v>28.9</v>
      </c>
      <c r="AJ15" s="56">
        <v>29.9</v>
      </c>
      <c r="AK15" s="56"/>
      <c r="AL15" s="56"/>
      <c r="AM15" s="56"/>
      <c r="AN15" s="56"/>
      <c r="AO15" s="56"/>
      <c r="AP15" s="58">
        <f t="shared" si="0"/>
        <v>26</v>
      </c>
      <c r="AQ15" s="71">
        <f t="shared" si="1"/>
        <v>29.188461538461539</v>
      </c>
      <c r="AR15" s="71">
        <f>IFERROR(VLOOKUP(A15,Climatologia_TMED!A:U,9+$E$2,FALSE),"")</f>
        <v>28.235505376344079</v>
      </c>
      <c r="AS15" s="71">
        <f t="shared" si="2"/>
        <v>0.95295616211745937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>
        <v>28.1</v>
      </c>
      <c r="AI16" s="56">
        <v>29.6</v>
      </c>
      <c r="AJ16" s="56">
        <v>27.3</v>
      </c>
      <c r="AK16" s="56"/>
      <c r="AL16" s="56"/>
      <c r="AM16" s="56"/>
      <c r="AN16" s="56"/>
      <c r="AO16" s="56"/>
      <c r="AP16" s="58">
        <f t="shared" si="0"/>
        <v>26</v>
      </c>
      <c r="AQ16" s="71">
        <f t="shared" si="1"/>
        <v>28.346153846153847</v>
      </c>
      <c r="AR16" s="71">
        <f>IFERROR(VLOOKUP(A16,Climatologia_TMED!A:U,9+$E$2,FALSE),"")</f>
        <v>27.637652848402979</v>
      </c>
      <c r="AS16" s="71">
        <f t="shared" si="2"/>
        <v>0.70850099775086761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>
        <v>24.8</v>
      </c>
      <c r="AI17" s="56">
        <v>25.1</v>
      </c>
      <c r="AJ17" s="56">
        <v>23.1</v>
      </c>
      <c r="AK17" s="56"/>
      <c r="AL17" s="56"/>
      <c r="AM17" s="56"/>
      <c r="AN17" s="56"/>
      <c r="AO17" s="56"/>
      <c r="AP17" s="58">
        <f t="shared" si="0"/>
        <v>26</v>
      </c>
      <c r="AQ17" s="71">
        <f t="shared" si="1"/>
        <v>24.630769230769236</v>
      </c>
      <c r="AR17" s="71">
        <f>IFERROR(VLOOKUP(A17,Climatologia_TMED!A:U,9+$E$2,FALSE),"")</f>
        <v>23.983623669156199</v>
      </c>
      <c r="AS17" s="71">
        <f t="shared" si="2"/>
        <v>0.64714556161303705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>
        <v>19.100000000000001</v>
      </c>
      <c r="AI18" s="56">
        <v>18.899999999999999</v>
      </c>
      <c r="AJ18" s="56">
        <v>18.7</v>
      </c>
      <c r="AK18" s="56"/>
      <c r="AL18" s="56"/>
      <c r="AM18" s="56"/>
      <c r="AN18" s="56"/>
      <c r="AO18" s="56"/>
      <c r="AP18" s="58">
        <f t="shared" si="0"/>
        <v>26</v>
      </c>
      <c r="AQ18" s="71">
        <f t="shared" si="1"/>
        <v>18.765384615384615</v>
      </c>
      <c r="AR18" s="71">
        <f>IFERROR(VLOOKUP(A18,Climatologia_TMED!A:U,9+$E$2,FALSE),"")</f>
        <v>17.418351254480282</v>
      </c>
      <c r="AS18" s="71">
        <f t="shared" si="2"/>
        <v>1.3470333609043337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>
        <v>23</v>
      </c>
      <c r="AI19" s="56">
        <v>23.3</v>
      </c>
      <c r="AJ19" s="56">
        <v>23</v>
      </c>
      <c r="AK19" s="56"/>
      <c r="AL19" s="56"/>
      <c r="AM19" s="56"/>
      <c r="AN19" s="56"/>
      <c r="AO19" s="56"/>
      <c r="AP19" s="58">
        <f t="shared" si="0"/>
        <v>26</v>
      </c>
      <c r="AQ19" s="71">
        <f t="shared" si="1"/>
        <v>24.226923076923075</v>
      </c>
      <c r="AR19" s="71">
        <f>IFERROR(VLOOKUP(A19,Climatologia_TMED!A:U,9+$E$2,FALSE),"")</f>
        <v>22.133534946236551</v>
      </c>
      <c r="AS19" s="71">
        <f t="shared" si="2"/>
        <v>2.0933881306865239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>
        <v>25.4</v>
      </c>
      <c r="AI20" s="56">
        <v>23.4</v>
      </c>
      <c r="AJ20" s="56">
        <v>23.6</v>
      </c>
      <c r="AK20" s="56"/>
      <c r="AL20" s="56"/>
      <c r="AM20" s="56"/>
      <c r="AN20" s="56"/>
      <c r="AO20" s="56"/>
      <c r="AP20" s="58">
        <f t="shared" si="0"/>
        <v>26</v>
      </c>
      <c r="AQ20" s="71">
        <f t="shared" si="1"/>
        <v>24.257692307692306</v>
      </c>
      <c r="AR20" s="71">
        <f>IFERROR(VLOOKUP(A20,Climatologia_TMED!A:U,9+$E$2,FALSE),"")</f>
        <v>22.60766542597187</v>
      </c>
      <c r="AS20" s="71">
        <f t="shared" si="2"/>
        <v>1.6500268817204358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>
        <v>27.1</v>
      </c>
      <c r="AI21" s="56">
        <v>26.8</v>
      </c>
      <c r="AJ21" s="56">
        <v>27</v>
      </c>
      <c r="AK21" s="56"/>
      <c r="AL21" s="56"/>
      <c r="AM21" s="56"/>
      <c r="AN21" s="56"/>
      <c r="AO21" s="56"/>
      <c r="AP21" s="58">
        <f t="shared" si="0"/>
        <v>26</v>
      </c>
      <c r="AQ21" s="71">
        <f t="shared" si="1"/>
        <v>27.123076923076919</v>
      </c>
      <c r="AR21" s="71">
        <f>IFERROR(VLOOKUP(A21,Climatologia_TMED!A:U,9+$E$2,FALSE),"")</f>
        <v>24.690081891757131</v>
      </c>
      <c r="AS21" s="71">
        <f t="shared" si="2"/>
        <v>2.4329950313197877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>
        <v>16.100000000000001</v>
      </c>
      <c r="AI22" s="56">
        <v>14.6</v>
      </c>
      <c r="AJ22" s="56">
        <v>15.5</v>
      </c>
      <c r="AK22" s="56"/>
      <c r="AL22" s="56"/>
      <c r="AM22" s="56"/>
      <c r="AN22" s="56"/>
      <c r="AO22" s="56"/>
      <c r="AP22" s="58">
        <f t="shared" si="0"/>
        <v>26</v>
      </c>
      <c r="AQ22" s="71">
        <f t="shared" si="1"/>
        <v>15.488461538461538</v>
      </c>
      <c r="AR22" s="71">
        <f>IFERROR(VLOOKUP(A22,Climatologia_TMED!A:U,9+$E$2,FALSE),"")</f>
        <v>13.7803329197684</v>
      </c>
      <c r="AS22" s="71">
        <f t="shared" si="2"/>
        <v>1.7081286186931379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>
        <v>26.1</v>
      </c>
      <c r="AI23" s="56">
        <v>25.5</v>
      </c>
      <c r="AJ23" s="56">
        <v>25.5</v>
      </c>
      <c r="AK23" s="56"/>
      <c r="AL23" s="56"/>
      <c r="AM23" s="56"/>
      <c r="AN23" s="56"/>
      <c r="AO23" s="56"/>
      <c r="AP23" s="58">
        <f t="shared" si="0"/>
        <v>26</v>
      </c>
      <c r="AQ23" s="71">
        <f t="shared" si="1"/>
        <v>26.092307692307688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>
        <v>30.4</v>
      </c>
      <c r="AI24" s="56">
        <v>29.6</v>
      </c>
      <c r="AJ24" s="56">
        <v>29.3</v>
      </c>
      <c r="AK24" s="56"/>
      <c r="AL24" s="56"/>
      <c r="AM24" s="56"/>
      <c r="AN24" s="56"/>
      <c r="AO24" s="56"/>
      <c r="AP24" s="58">
        <f t="shared" si="0"/>
        <v>26</v>
      </c>
      <c r="AQ24" s="71">
        <f t="shared" si="1"/>
        <v>29.403846153846157</v>
      </c>
      <c r="AR24" s="71">
        <f>IFERROR(VLOOKUP(A24,Climatologia_TMED!A:U,9+$E$2,FALSE),"")</f>
        <v>28.36235848473612</v>
      </c>
      <c r="AS24" s="71">
        <f t="shared" si="2"/>
        <v>1.0414876691100368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>
        <v>20.5</v>
      </c>
      <c r="AI25" s="56">
        <v>22.6</v>
      </c>
      <c r="AJ25" s="56">
        <v>22.5</v>
      </c>
      <c r="AK25" s="56"/>
      <c r="AL25" s="56"/>
      <c r="AM25" s="56"/>
      <c r="AN25" s="56"/>
      <c r="AO25" s="56"/>
      <c r="AP25" s="58">
        <f t="shared" si="0"/>
        <v>26</v>
      </c>
      <c r="AQ25" s="71">
        <f t="shared" si="1"/>
        <v>21.86538461538461</v>
      </c>
      <c r="AR25" s="71">
        <f>IFERROR(VLOOKUP(A25,Climatologia_TMED!A:U,9+$E$2,FALSE),"")</f>
        <v>19.9334244562022</v>
      </c>
      <c r="AS25" s="71">
        <f t="shared" si="2"/>
        <v>1.9319601591824096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>
        <v>10.1</v>
      </c>
      <c r="AI26" s="56">
        <v>11.3</v>
      </c>
      <c r="AJ26" s="56">
        <v>10.9</v>
      </c>
      <c r="AK26" s="56"/>
      <c r="AL26" s="56"/>
      <c r="AM26" s="56"/>
      <c r="AN26" s="56"/>
      <c r="AO26" s="56"/>
      <c r="AP26" s="58">
        <f t="shared" si="0"/>
        <v>26</v>
      </c>
      <c r="AQ26" s="71">
        <f t="shared" si="1"/>
        <v>11.576923076923075</v>
      </c>
      <c r="AR26" s="71">
        <f>IFERROR(VLOOKUP(A26,Climatologia_TMED!A:U,9+$E$2,FALSE),"")</f>
        <v>10.370314900153589</v>
      </c>
      <c r="AS26" s="71">
        <f t="shared" si="2"/>
        <v>1.2066081767694854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>
        <v>28.1</v>
      </c>
      <c r="AI27" s="56">
        <v>29.5</v>
      </c>
      <c r="AJ27" s="56">
        <v>26.2</v>
      </c>
      <c r="AK27" s="56"/>
      <c r="AL27" s="56"/>
      <c r="AM27" s="56"/>
      <c r="AN27" s="56"/>
      <c r="AO27" s="56"/>
      <c r="AP27" s="58">
        <f t="shared" si="0"/>
        <v>26</v>
      </c>
      <c r="AQ27" s="71">
        <f t="shared" si="1"/>
        <v>28.038461538461544</v>
      </c>
      <c r="AR27" s="71">
        <f>IFERROR(VLOOKUP(A27,Climatologia_TMED!A:U,9+$E$2,FALSE),"")</f>
        <v>26.988705969595848</v>
      </c>
      <c r="AS27" s="71">
        <f t="shared" si="2"/>
        <v>1.0497555688656952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>
        <v>28.9</v>
      </c>
      <c r="AI28" s="56">
        <v>25.3</v>
      </c>
      <c r="AJ28" s="56">
        <v>23.7</v>
      </c>
      <c r="AK28" s="56"/>
      <c r="AL28" s="56"/>
      <c r="AM28" s="56"/>
      <c r="AN28" s="56"/>
      <c r="AO28" s="56"/>
      <c r="AP28" s="58">
        <f t="shared" si="0"/>
        <v>26</v>
      </c>
      <c r="AQ28" s="71">
        <f t="shared" si="1"/>
        <v>26.488461538461539</v>
      </c>
      <c r="AR28" s="71">
        <f>IFERROR(VLOOKUP(A28,Climatologia_TMED!A:U,9+$E$2,FALSE),"")</f>
        <v>25.751418551476942</v>
      </c>
      <c r="AS28" s="71">
        <f t="shared" si="2"/>
        <v>0.7370429869845978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>
        <v>28.4</v>
      </c>
      <c r="AI29" s="56">
        <v>28.7</v>
      </c>
      <c r="AJ29" s="56">
        <v>26.4</v>
      </c>
      <c r="AK29" s="56"/>
      <c r="AL29" s="56"/>
      <c r="AM29" s="56"/>
      <c r="AN29" s="56"/>
      <c r="AO29" s="56"/>
      <c r="AP29" s="58">
        <f t="shared" si="0"/>
        <v>26</v>
      </c>
      <c r="AQ29" s="71">
        <f t="shared" si="1"/>
        <v>27.680769230769233</v>
      </c>
      <c r="AR29" s="71">
        <f>IFERROR(VLOOKUP(A29,Climatologia_TMED!A:U,9+$E$2,FALSE),"")</f>
        <v>26.954042214257239</v>
      </c>
      <c r="AS29" s="71">
        <f t="shared" si="2"/>
        <v>0.7267270165119939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>
        <v>27</v>
      </c>
      <c r="AI30" s="56">
        <v>26</v>
      </c>
      <c r="AJ30" s="56">
        <v>25.8</v>
      </c>
      <c r="AK30" s="56"/>
      <c r="AL30" s="56"/>
      <c r="AM30" s="56"/>
      <c r="AN30" s="56"/>
      <c r="AO30" s="56"/>
      <c r="AP30" s="58">
        <f t="shared" si="0"/>
        <v>26</v>
      </c>
      <c r="AQ30" s="71">
        <f t="shared" si="1"/>
        <v>25.284615384615385</v>
      </c>
      <c r="AR30" s="71">
        <f>IFERROR(VLOOKUP(A30,Climatologia_TMED!A:U,9+$E$2,FALSE),"")</f>
        <v>24.518001483129371</v>
      </c>
      <c r="AS30" s="71">
        <f t="shared" si="2"/>
        <v>0.76661390148601427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>
        <v>25.2</v>
      </c>
      <c r="AI31" s="98">
        <v>26.4</v>
      </c>
      <c r="AJ31" s="98">
        <v>26.2</v>
      </c>
      <c r="AK31" s="98"/>
      <c r="AL31" s="98"/>
      <c r="AM31" s="98"/>
      <c r="AN31" s="98"/>
      <c r="AO31" s="98"/>
      <c r="AP31" s="58">
        <f t="shared" si="0"/>
        <v>26</v>
      </c>
      <c r="AQ31" s="71">
        <f t="shared" si="1"/>
        <v>26.803846153846152</v>
      </c>
      <c r="AR31" s="71">
        <f>IFERROR(VLOOKUP(A31,Climatologia_TMED!A:U,9+$E$2,FALSE),"")</f>
        <v>25.368948626045398</v>
      </c>
      <c r="AS31" s="71">
        <f t="shared" si="2"/>
        <v>1.4348975278007536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>
        <v>20.333333333333329</v>
      </c>
      <c r="AI32" s="56">
        <v>20.6</v>
      </c>
      <c r="AJ32" s="56">
        <v>19.266666666666669</v>
      </c>
      <c r="AK32" s="56"/>
      <c r="AL32" s="56"/>
      <c r="AM32" s="56"/>
      <c r="AN32" s="56"/>
      <c r="AO32" s="56"/>
      <c r="AP32" s="58">
        <f t="shared" si="0"/>
        <v>26</v>
      </c>
      <c r="AQ32" s="71">
        <f t="shared" si="1"/>
        <v>20.49102564102564</v>
      </c>
      <c r="AR32" s="71">
        <f>IFERROR(VLOOKUP(A32,Climatologia_TMED!A:U,9+$E$2,FALSE),"")</f>
        <v>17.656856052108839</v>
      </c>
      <c r="AS32" s="71">
        <f t="shared" si="2"/>
        <v>2.8341695889168008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>
        <v>27.45</v>
      </c>
      <c r="AI33" s="56">
        <v>29.2</v>
      </c>
      <c r="AJ33" s="56"/>
      <c r="AK33" s="56"/>
      <c r="AL33" s="56"/>
      <c r="AM33" s="56"/>
      <c r="AN33" s="56"/>
      <c r="AO33" s="56"/>
      <c r="AP33" s="58">
        <f t="shared" si="0"/>
        <v>25</v>
      </c>
      <c r="AQ33" s="71">
        <f t="shared" si="1"/>
        <v>27.940000000000005</v>
      </c>
      <c r="AR33" s="71">
        <f>IFERROR(VLOOKUP(A33,Climatologia_TMED!A:U,9+$E$2,FALSE),"")</f>
        <v>26.827472081212552</v>
      </c>
      <c r="AS33" s="71">
        <f t="shared" si="2"/>
        <v>1.1125279187874533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>
        <v>20.93333333333333</v>
      </c>
      <c r="AI34" s="56">
        <v>21.333333333333329</v>
      </c>
      <c r="AJ34" s="56">
        <v>20.93333333333333</v>
      </c>
      <c r="AK34" s="56"/>
      <c r="AL34" s="56"/>
      <c r="AM34" s="56"/>
      <c r="AN34" s="56"/>
      <c r="AO34" s="56"/>
      <c r="AP34" s="58">
        <f t="shared" si="0"/>
        <v>26</v>
      </c>
      <c r="AQ34" s="71">
        <f t="shared" si="1"/>
        <v>21.282051282051285</v>
      </c>
      <c r="AR34" s="71">
        <f>IFERROR(VLOOKUP(A34,Climatologia_TMED!A:U,9+$E$2,FALSE),"")</f>
        <v>19.787197591680322</v>
      </c>
      <c r="AS34" s="71">
        <f t="shared" si="2"/>
        <v>1.4948536903709631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>
        <v>23</v>
      </c>
      <c r="AI35" s="56">
        <v>26.1</v>
      </c>
      <c r="AJ35" s="56">
        <v>24.7</v>
      </c>
      <c r="AK35" s="56"/>
      <c r="AL35" s="56"/>
      <c r="AM35" s="56"/>
      <c r="AN35" s="56"/>
      <c r="AO35" s="56"/>
      <c r="AP35" s="58">
        <f t="shared" si="0"/>
        <v>26</v>
      </c>
      <c r="AQ35" s="71">
        <f t="shared" si="1"/>
        <v>24.548076923076923</v>
      </c>
      <c r="AR35" s="71">
        <f>IFERROR(VLOOKUP(A35,Climatologia_TMED!A:U,9+$E$2,FALSE),"")</f>
        <v>24.038247899717401</v>
      </c>
      <c r="AS35" s="71">
        <f t="shared" si="2"/>
        <v>0.50982902335952218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>
        <v>19</v>
      </c>
      <c r="AI36" s="56">
        <v>19.55</v>
      </c>
      <c r="AJ36" s="56">
        <v>19</v>
      </c>
      <c r="AK36" s="56"/>
      <c r="AL36" s="56"/>
      <c r="AM36" s="56"/>
      <c r="AN36" s="56"/>
      <c r="AO36" s="56"/>
      <c r="AP36" s="58">
        <f t="shared" si="0"/>
        <v>26</v>
      </c>
      <c r="AQ36" s="71">
        <f t="shared" si="1"/>
        <v>20</v>
      </c>
      <c r="AR36" s="71">
        <f>IFERROR(VLOOKUP(A36,Climatologia_TMED!A:U,9+$E$2,FALSE),"")</f>
        <v>18.99881106321839</v>
      </c>
      <c r="AS36" s="71">
        <f t="shared" si="2"/>
        <v>1.0011889367816096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>
        <v>27.45</v>
      </c>
      <c r="AI37" s="56">
        <v>27.4</v>
      </c>
      <c r="AJ37" s="56">
        <v>26.8</v>
      </c>
      <c r="AK37" s="56"/>
      <c r="AL37" s="56"/>
      <c r="AM37" s="56"/>
      <c r="AN37" s="56"/>
      <c r="AO37" s="56"/>
      <c r="AP37" s="58">
        <f t="shared" si="0"/>
        <v>26</v>
      </c>
      <c r="AQ37" s="71">
        <f t="shared" si="1"/>
        <v>27.371153846153849</v>
      </c>
      <c r="AR37" s="71">
        <f>IFERROR(VLOOKUP(A37,Climatologia_TMED!A:U,9+$E$2,FALSE),"")</f>
        <v>25.886229873937381</v>
      </c>
      <c r="AS37" s="71">
        <f t="shared" si="2"/>
        <v>1.4849239722164675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>
        <v>16.3</v>
      </c>
      <c r="AI38" s="56">
        <v>15.2</v>
      </c>
      <c r="AJ38" s="56">
        <v>15.15</v>
      </c>
      <c r="AK38" s="56"/>
      <c r="AL38" s="56"/>
      <c r="AM38" s="56"/>
      <c r="AN38" s="56"/>
      <c r="AO38" s="56"/>
      <c r="AP38" s="58">
        <f t="shared" si="0"/>
        <v>24</v>
      </c>
      <c r="AQ38" s="71">
        <f t="shared" si="1"/>
        <v>15.939583333333331</v>
      </c>
      <c r="AR38" s="71">
        <f>IFERROR(VLOOKUP(A38,Climatologia_TMED!A:U,9+$E$2,FALSE),"")</f>
        <v>15.017929006950681</v>
      </c>
      <c r="AS38" s="71">
        <f t="shared" si="2"/>
        <v>0.92165432638265088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>
        <v>21.86666666666666</v>
      </c>
      <c r="AI39" s="56">
        <v>21.8</v>
      </c>
      <c r="AJ39" s="56">
        <v>20.666666666666671</v>
      </c>
      <c r="AK39" s="56"/>
      <c r="AL39" s="56"/>
      <c r="AM39" s="56"/>
      <c r="AN39" s="56"/>
      <c r="AO39" s="56"/>
      <c r="AP39" s="58">
        <f t="shared" si="0"/>
        <v>25</v>
      </c>
      <c r="AQ39" s="71">
        <f t="shared" si="1"/>
        <v>22.261333333333333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>
        <v>24.333333333333329</v>
      </c>
      <c r="AI40" s="56">
        <v>24.13333333333334</v>
      </c>
      <c r="AJ40" s="56">
        <v>23.333333333333329</v>
      </c>
      <c r="AK40" s="56"/>
      <c r="AL40" s="56"/>
      <c r="AM40" s="56"/>
      <c r="AN40" s="56"/>
      <c r="AO40" s="56"/>
      <c r="AP40" s="58">
        <f t="shared" si="0"/>
        <v>20</v>
      </c>
      <c r="AQ40" s="71">
        <f t="shared" si="1"/>
        <v>25.217499999999994</v>
      </c>
      <c r="AR40" s="71">
        <f>IFERROR(VLOOKUP(A40,Climatologia_TMED!A:U,9+$E$2,FALSE),"")</f>
        <v>22.851790748426971</v>
      </c>
      <c r="AS40" s="71">
        <f t="shared" si="2"/>
        <v>2.3657092515730227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>
        <v>18</v>
      </c>
      <c r="AI41" s="56">
        <v>20.466666666666669</v>
      </c>
      <c r="AJ41" s="56">
        <v>19.2</v>
      </c>
      <c r="AK41" s="56"/>
      <c r="AL41" s="56"/>
      <c r="AM41" s="56"/>
      <c r="AN41" s="56"/>
      <c r="AO41" s="56"/>
      <c r="AP41" s="58">
        <f t="shared" si="0"/>
        <v>25</v>
      </c>
      <c r="AQ41" s="71">
        <f t="shared" si="1"/>
        <v>20.147999999999996</v>
      </c>
      <c r="AR41" s="71">
        <f>IFERROR(VLOOKUP(A41,Climatologia_TMED!A:U,9+$E$2,FALSE),"")</f>
        <v>18.492109191327739</v>
      </c>
      <c r="AS41" s="71">
        <f t="shared" si="2"/>
        <v>1.6558908086722575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>
        <v>27.5</v>
      </c>
      <c r="AI42" s="56">
        <v>28.55</v>
      </c>
      <c r="AJ42" s="56">
        <v>27.15</v>
      </c>
      <c r="AK42" s="56"/>
      <c r="AL42" s="56"/>
      <c r="AM42" s="56"/>
      <c r="AN42" s="56"/>
      <c r="AO42" s="56"/>
      <c r="AP42" s="58">
        <f t="shared" si="0"/>
        <v>26</v>
      </c>
      <c r="AQ42" s="71">
        <f t="shared" si="1"/>
        <v>27.987499999999997</v>
      </c>
      <c r="AR42" s="71">
        <f>IFERROR(VLOOKUP(A42,Climatologia_TMED!A:U,9+$E$2,FALSE),"")</f>
        <v>27.752685517058271</v>
      </c>
      <c r="AS42" s="71">
        <f t="shared" si="2"/>
        <v>0.2348144829417258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>
        <v>28.6</v>
      </c>
      <c r="AI43" s="56">
        <v>29.75</v>
      </c>
      <c r="AJ43" s="56">
        <v>28.1</v>
      </c>
      <c r="AK43" s="56"/>
      <c r="AL43" s="56"/>
      <c r="AM43" s="56"/>
      <c r="AN43" s="56"/>
      <c r="AO43" s="56"/>
      <c r="AP43" s="58">
        <f t="shared" si="0"/>
        <v>24</v>
      </c>
      <c r="AQ43" s="71">
        <f t="shared" si="1"/>
        <v>29.32083333333334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>
        <v>28.9</v>
      </c>
      <c r="AI44" s="56">
        <v>28.95</v>
      </c>
      <c r="AJ44" s="56">
        <v>29.1</v>
      </c>
      <c r="AK44" s="56"/>
      <c r="AL44" s="56"/>
      <c r="AM44" s="56"/>
      <c r="AN44" s="56"/>
      <c r="AO44" s="56"/>
      <c r="AP44" s="58">
        <f t="shared" si="0"/>
        <v>26</v>
      </c>
      <c r="AQ44" s="71">
        <f t="shared" si="1"/>
        <v>28.527884615384611</v>
      </c>
      <c r="AR44" s="71">
        <f>IFERROR(VLOOKUP(A44,Climatologia_TMED!A:U,9+$E$2,FALSE),"")</f>
        <v>27.342343444282822</v>
      </c>
      <c r="AS44" s="71">
        <f t="shared" si="2"/>
        <v>1.1855411711017894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>
        <v>28.45</v>
      </c>
      <c r="AI45" s="56">
        <v>29.65</v>
      </c>
      <c r="AJ45" s="56">
        <v>27.75</v>
      </c>
      <c r="AK45" s="56"/>
      <c r="AL45" s="56"/>
      <c r="AM45" s="56"/>
      <c r="AN45" s="56"/>
      <c r="AO45" s="56"/>
      <c r="AP45" s="58">
        <f t="shared" si="0"/>
        <v>26</v>
      </c>
      <c r="AQ45" s="71">
        <f t="shared" si="1"/>
        <v>29.24038461538462</v>
      </c>
      <c r="AR45" s="71">
        <f>IFERROR(VLOOKUP(A45,Climatologia_TMED!A:U,9+$E$2,FALSE),"")</f>
        <v>27.76810747493143</v>
      </c>
      <c r="AS45" s="71">
        <f t="shared" si="2"/>
        <v>1.4722771404531905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>
        <v>29.3</v>
      </c>
      <c r="AI46" s="56">
        <v>29.4</v>
      </c>
      <c r="AJ46" s="56">
        <v>28.1</v>
      </c>
      <c r="AK46" s="56"/>
      <c r="AL46" s="56"/>
      <c r="AM46" s="56"/>
      <c r="AN46" s="56"/>
      <c r="AO46" s="56"/>
      <c r="AP46" s="58">
        <f t="shared" si="0"/>
        <v>26</v>
      </c>
      <c r="AQ46" s="71">
        <f t="shared" si="1"/>
        <v>28.929807692307691</v>
      </c>
      <c r="AR46" s="71">
        <f>IFERROR(VLOOKUP(A46,Climatologia_TMED!A:U,9+$E$2,FALSE),"")</f>
        <v>27.906197631897481</v>
      </c>
      <c r="AS46" s="71">
        <f t="shared" si="2"/>
        <v>1.0236100604102099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>
        <v>29.333333333333329</v>
      </c>
      <c r="AI47" s="56">
        <v>31.4</v>
      </c>
      <c r="AJ47" s="56">
        <v>28.6</v>
      </c>
      <c r="AK47" s="56"/>
      <c r="AL47" s="56"/>
      <c r="AM47" s="56"/>
      <c r="AN47" s="56"/>
      <c r="AO47" s="56"/>
      <c r="AP47" s="58">
        <f t="shared" si="0"/>
        <v>26</v>
      </c>
      <c r="AQ47" s="71">
        <f t="shared" si="1"/>
        <v>29.952564102564111</v>
      </c>
      <c r="AR47" s="71">
        <f>IFERROR(VLOOKUP(A47,Climatologia_TMED!A:U,9+$E$2,FALSE),"")</f>
        <v>27.968875859317389</v>
      </c>
      <c r="AS47" s="71">
        <f t="shared" si="2"/>
        <v>1.9836882432467213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>
        <v>28.35</v>
      </c>
      <c r="AI50" s="56">
        <v>29.05</v>
      </c>
      <c r="AJ50" s="56">
        <v>27.75</v>
      </c>
      <c r="AK50" s="56"/>
      <c r="AL50" s="56"/>
      <c r="AM50" s="56"/>
      <c r="AN50" s="56"/>
      <c r="AO50" s="56"/>
      <c r="AP50" s="58">
        <f t="shared" si="0"/>
        <v>26</v>
      </c>
      <c r="AQ50" s="71">
        <f t="shared" si="1"/>
        <v>29.213461538461537</v>
      </c>
      <c r="AR50" s="71">
        <f>IFERROR(VLOOKUP(A50,Climatologia_TMED!A:U,9+$E$2,FALSE),"")</f>
        <v>27.288690346031821</v>
      </c>
      <c r="AS50" s="71">
        <f t="shared" si="2"/>
        <v>1.9247711924297164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>
        <v>27.65</v>
      </c>
      <c r="AI53" s="56">
        <v>29</v>
      </c>
      <c r="AJ53" s="56">
        <v>27.65</v>
      </c>
      <c r="AK53" s="56"/>
      <c r="AL53" s="56"/>
      <c r="AM53" s="56"/>
      <c r="AN53" s="56"/>
      <c r="AO53" s="56"/>
      <c r="AP53" s="58">
        <f t="shared" si="0"/>
        <v>26</v>
      </c>
      <c r="AQ53" s="71">
        <f t="shared" si="1"/>
        <v>28.886538461538461</v>
      </c>
      <c r="AR53" s="71">
        <f>IFERROR(VLOOKUP(A53,Climatologia_TMED!A:U,9+$E$2,FALSE),"")</f>
        <v>27.359246296590548</v>
      </c>
      <c r="AS53" s="71">
        <f t="shared" si="2"/>
        <v>1.5272921649479123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>
        <v>29.45</v>
      </c>
      <c r="AI54" s="56">
        <v>30.45</v>
      </c>
      <c r="AJ54" s="56">
        <v>27.35</v>
      </c>
      <c r="AK54" s="56"/>
      <c r="AL54" s="56"/>
      <c r="AM54" s="56"/>
      <c r="AN54" s="56"/>
      <c r="AO54" s="56"/>
      <c r="AP54" s="58">
        <f t="shared" si="0"/>
        <v>26</v>
      </c>
      <c r="AQ54" s="71">
        <f t="shared" si="1"/>
        <v>30.030769230769238</v>
      </c>
      <c r="AR54" s="71">
        <f>IFERROR(VLOOKUP(A54,Climatologia_TMED!A:U,9+$E$2,FALSE),"")</f>
        <v>28.498226025066419</v>
      </c>
      <c r="AS54" s="71">
        <f t="shared" si="2"/>
        <v>1.5325432057028188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>
        <v>29.35</v>
      </c>
      <c r="AI55" s="56">
        <v>28.95</v>
      </c>
      <c r="AJ55" s="56">
        <v>29.95</v>
      </c>
      <c r="AK55" s="56"/>
      <c r="AL55" s="56"/>
      <c r="AM55" s="56"/>
      <c r="AN55" s="56"/>
      <c r="AO55" s="56"/>
      <c r="AP55" s="58">
        <f t="shared" si="0"/>
        <v>19</v>
      </c>
      <c r="AQ55" s="71">
        <f t="shared" si="1"/>
        <v>30.297368421052635</v>
      </c>
      <c r="AR55" s="71">
        <f>IFERROR(VLOOKUP(A55,Climatologia_TMED!A:U,9+$E$2,FALSE),"")</f>
        <v>28.430959670237041</v>
      </c>
      <c r="AS55" s="71">
        <f t="shared" si="2"/>
        <v>1.8664087508155944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>
        <v>27.8</v>
      </c>
      <c r="AI56" s="56">
        <v>27.45</v>
      </c>
      <c r="AJ56" s="56">
        <v>27.35</v>
      </c>
      <c r="AK56" s="56"/>
      <c r="AL56" s="56"/>
      <c r="AM56" s="56"/>
      <c r="AN56" s="56"/>
      <c r="AO56" s="56"/>
      <c r="AP56" s="58">
        <f t="shared" si="0"/>
        <v>26</v>
      </c>
      <c r="AQ56" s="71">
        <f t="shared" si="1"/>
        <v>29.384615384615383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>
        <v>26.65</v>
      </c>
      <c r="AI59" s="56">
        <v>28.7</v>
      </c>
      <c r="AJ59" s="56">
        <v>28.15</v>
      </c>
      <c r="AK59" s="56"/>
      <c r="AL59" s="56"/>
      <c r="AM59" s="56"/>
      <c r="AN59" s="56"/>
      <c r="AO59" s="56"/>
      <c r="AP59" s="58">
        <f t="shared" si="0"/>
        <v>25</v>
      </c>
      <c r="AQ59" s="71">
        <f t="shared" si="1"/>
        <v>29.061</v>
      </c>
      <c r="AR59" s="71">
        <f>IFERROR(VLOOKUP(A59,Climatologia_TMED!A:U,9+$E$2,FALSE),"")</f>
        <v>28.11421982908216</v>
      </c>
      <c r="AS59" s="71">
        <f t="shared" si="2"/>
        <v>0.94678017091784028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>
        <v>24.65</v>
      </c>
      <c r="AI60" s="56">
        <v>26.15</v>
      </c>
      <c r="AJ60" s="56">
        <v>25.5</v>
      </c>
      <c r="AK60" s="56"/>
      <c r="AL60" s="56"/>
      <c r="AM60" s="56"/>
      <c r="AN60" s="56"/>
      <c r="AO60" s="56"/>
      <c r="AP60" s="58">
        <f t="shared" si="0"/>
        <v>21</v>
      </c>
      <c r="AQ60" s="71">
        <f t="shared" si="1"/>
        <v>25.721428571428572</v>
      </c>
      <c r="AR60" s="71">
        <f>IFERROR(VLOOKUP(A60,Climatologia_TMED!A:U,9+$E$2,FALSE),"")</f>
        <v>24.144564214948328</v>
      </c>
      <c r="AS60" s="71">
        <f t="shared" si="2"/>
        <v>1.5768643564802431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>
        <v>27.25</v>
      </c>
      <c r="AI61" s="56">
        <v>27.6</v>
      </c>
      <c r="AJ61" s="56">
        <v>26.9</v>
      </c>
      <c r="AK61" s="56"/>
      <c r="AL61" s="56"/>
      <c r="AM61" s="56"/>
      <c r="AN61" s="56"/>
      <c r="AO61" s="56"/>
      <c r="AP61" s="58">
        <f t="shared" si="0"/>
        <v>26</v>
      </c>
      <c r="AQ61" s="71">
        <f t="shared" si="1"/>
        <v>26.676923076923082</v>
      </c>
      <c r="AR61" s="71">
        <f>IFERROR(VLOOKUP(A61,Climatologia_TMED!A:U,9+$E$2,FALSE),"")</f>
        <v>25.706671681725961</v>
      </c>
      <c r="AS61" s="71">
        <f t="shared" si="2"/>
        <v>0.97025139519712056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>
        <v>27.733333333333331</v>
      </c>
      <c r="AI62" s="56">
        <v>26.333333333333329</v>
      </c>
      <c r="AJ62" s="56">
        <v>25.86666666666666</v>
      </c>
      <c r="AK62" s="56"/>
      <c r="AL62" s="56"/>
      <c r="AM62" s="56"/>
      <c r="AN62" s="56"/>
      <c r="AO62" s="56"/>
      <c r="AP62" s="58">
        <f t="shared" si="0"/>
        <v>26</v>
      </c>
      <c r="AQ62" s="71">
        <f t="shared" si="1"/>
        <v>25.933333333333337</v>
      </c>
      <c r="AR62" s="71">
        <f>IFERROR(VLOOKUP(A62,Climatologia_TMED!A:U,9+$E$2,FALSE),"")</f>
        <v>24.539003939963891</v>
      </c>
      <c r="AS62" s="71">
        <f t="shared" si="2"/>
        <v>1.3943293933694463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>
        <v>26.7</v>
      </c>
      <c r="AI65" s="56">
        <v>25.3</v>
      </c>
      <c r="AJ65" s="56">
        <v>25.2</v>
      </c>
      <c r="AK65" s="56"/>
      <c r="AL65" s="56"/>
      <c r="AM65" s="56"/>
      <c r="AN65" s="56"/>
      <c r="AO65" s="56"/>
      <c r="AP65" s="58">
        <f t="shared" si="0"/>
        <v>17</v>
      </c>
      <c r="AQ65" s="71">
        <f t="shared" si="1"/>
        <v>25.74117647058824</v>
      </c>
      <c r="AR65" s="71">
        <f>IFERROR(VLOOKUP(A65,Climatologia_TMED!A:U,9+$E$2,FALSE),"")</f>
        <v>25.005205958311159</v>
      </c>
      <c r="AS65" s="71">
        <f t="shared" si="2"/>
        <v>0.73597051227708121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>
        <v>27.55</v>
      </c>
      <c r="AI66" s="56">
        <v>26.3</v>
      </c>
      <c r="AJ66" s="56">
        <v>25.5</v>
      </c>
      <c r="AK66" s="56"/>
      <c r="AL66" s="56"/>
      <c r="AM66" s="56"/>
      <c r="AN66" s="56"/>
      <c r="AO66" s="56"/>
      <c r="AP66" s="58">
        <f t="shared" si="0"/>
        <v>26</v>
      </c>
      <c r="AQ66" s="71">
        <f t="shared" si="1"/>
        <v>25.642307692307686</v>
      </c>
      <c r="AR66" s="71">
        <f>IFERROR(VLOOKUP(A66,Climatologia_TMED!A:U,9+$E$2,FALSE),"")</f>
        <v>24.909114830278991</v>
      </c>
      <c r="AS66" s="71">
        <f t="shared" si="2"/>
        <v>0.73319286202869449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>
        <v>27.85</v>
      </c>
      <c r="AI67" s="56">
        <v>25.9</v>
      </c>
      <c r="AJ67" s="56">
        <v>24.55</v>
      </c>
      <c r="AK67" s="56"/>
      <c r="AL67" s="56"/>
      <c r="AM67" s="56"/>
      <c r="AN67" s="56"/>
      <c r="AO67" s="56"/>
      <c r="AP67" s="58">
        <f t="shared" si="0"/>
        <v>24</v>
      </c>
      <c r="AQ67" s="71">
        <f t="shared" si="1"/>
        <v>25.429166666666664</v>
      </c>
      <c r="AR67" s="71">
        <f>IFERROR(VLOOKUP(A67,Climatologia_TMED!A:U,9+$E$2,FALSE),"")</f>
        <v>24.65120691183121</v>
      </c>
      <c r="AS67" s="71">
        <f t="shared" si="2"/>
        <v>0.77795975483545377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>
        <v>26.05</v>
      </c>
      <c r="AI68" s="56">
        <v>24.75</v>
      </c>
      <c r="AJ68" s="56">
        <v>26.95</v>
      </c>
      <c r="AK68" s="56"/>
      <c r="AL68" s="56"/>
      <c r="AM68" s="56"/>
      <c r="AN68" s="56"/>
      <c r="AO68" s="56"/>
      <c r="AP68" s="58">
        <f t="shared" si="0"/>
        <v>26</v>
      </c>
      <c r="AQ68" s="71">
        <f t="shared" si="1"/>
        <v>25.505769230769229</v>
      </c>
      <c r="AR68" s="71">
        <f>IFERROR(VLOOKUP(A68,Climatologia_TMED!A:U,9+$E$2,FALSE),"")</f>
        <v>24.52508750274302</v>
      </c>
      <c r="AS68" s="71">
        <f t="shared" si="2"/>
        <v>0.98068172802620879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>
        <v>26.45</v>
      </c>
      <c r="AI69" s="56">
        <v>25.35</v>
      </c>
      <c r="AJ69" s="56">
        <v>24.824999999999999</v>
      </c>
      <c r="AK69" s="56"/>
      <c r="AL69" s="56"/>
      <c r="AM69" s="56"/>
      <c r="AN69" s="56"/>
      <c r="AO69" s="56"/>
      <c r="AP69" s="58">
        <f t="shared" ref="AP69:AP132" si="3">COUNTIF(K69:AO69,"&gt;0")</f>
        <v>26</v>
      </c>
      <c r="AQ69" s="71">
        <f t="shared" ref="AQ69:AQ132" si="4">IF(AP69&gt;14,AVERAGE(K69:AO69),"")</f>
        <v>24.950961538461545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0.62856385182953645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>
        <v>26.766666666666669</v>
      </c>
      <c r="AI70" s="56">
        <v>27.466666666666669</v>
      </c>
      <c r="AJ70" s="56">
        <v>26.466666666666669</v>
      </c>
      <c r="AK70" s="56"/>
      <c r="AL70" s="56"/>
      <c r="AM70" s="56"/>
      <c r="AN70" s="56"/>
      <c r="AO70" s="56"/>
      <c r="AP70" s="58">
        <f t="shared" si="3"/>
        <v>19</v>
      </c>
      <c r="AQ70" s="71">
        <f t="shared" si="4"/>
        <v>26.49649122807018</v>
      </c>
      <c r="AR70" s="71">
        <f>IFERROR(VLOOKUP(A70,Climatologia_TMED!A:U,9+$E$2,FALSE),"")</f>
        <v>25.569958691043201</v>
      </c>
      <c r="AS70" s="71">
        <f t="shared" si="5"/>
        <v>0.92653253702697924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>
        <v>26.766666666666669</v>
      </c>
      <c r="AI71" s="56">
        <v>26.1</v>
      </c>
      <c r="AJ71" s="56">
        <v>24.966666666666669</v>
      </c>
      <c r="AK71" s="56"/>
      <c r="AL71" s="56"/>
      <c r="AM71" s="56"/>
      <c r="AN71" s="56"/>
      <c r="AO71" s="56"/>
      <c r="AP71" s="58">
        <f t="shared" si="3"/>
        <v>26</v>
      </c>
      <c r="AQ71" s="71">
        <f t="shared" si="4"/>
        <v>25.907692307692308</v>
      </c>
      <c r="AR71" s="71">
        <f>IFERROR(VLOOKUP(A71,Climatologia_TMED!A:U,9+$E$2,FALSE),"")</f>
        <v>25.662442913653528</v>
      </c>
      <c r="AS71" s="71">
        <f t="shared" si="5"/>
        <v>0.24524939403877966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>
        <v>25.966666666666669</v>
      </c>
      <c r="AI72" s="56">
        <v>25.9</v>
      </c>
      <c r="AJ72" s="56">
        <v>26.9</v>
      </c>
      <c r="AK72" s="56"/>
      <c r="AL72" s="56"/>
      <c r="AM72" s="56"/>
      <c r="AN72" s="56"/>
      <c r="AO72" s="56"/>
      <c r="AP72" s="58">
        <f t="shared" si="3"/>
        <v>25</v>
      </c>
      <c r="AQ72" s="71">
        <f t="shared" si="4"/>
        <v>25.508000000000003</v>
      </c>
      <c r="AR72" s="71">
        <f>IFERROR(VLOOKUP(A72,Climatologia_TMED!A:U,9+$E$2,FALSE),"")</f>
        <v>24.973208742959539</v>
      </c>
      <c r="AS72" s="71">
        <f t="shared" si="5"/>
        <v>0.53479125704046382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>
        <v>26.1</v>
      </c>
      <c r="AI73" s="56"/>
      <c r="AJ73" s="56"/>
      <c r="AK73" s="56"/>
      <c r="AL73" s="56"/>
      <c r="AM73" s="56"/>
      <c r="AN73" s="56"/>
      <c r="AO73" s="56"/>
      <c r="AP73" s="58">
        <f t="shared" si="3"/>
        <v>18</v>
      </c>
      <c r="AQ73" s="71">
        <f t="shared" si="4"/>
        <v>25.755555555555553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>
        <v>22.2</v>
      </c>
      <c r="AI74" s="56">
        <v>22.25</v>
      </c>
      <c r="AJ74" s="56">
        <v>22.1</v>
      </c>
      <c r="AK74" s="56"/>
      <c r="AL74" s="56"/>
      <c r="AM74" s="56"/>
      <c r="AN74" s="56"/>
      <c r="AO74" s="56"/>
      <c r="AP74" s="58">
        <f t="shared" si="3"/>
        <v>26</v>
      </c>
      <c r="AQ74" s="71">
        <f t="shared" si="4"/>
        <v>20.848076923076924</v>
      </c>
      <c r="AR74" s="71">
        <f>IFERROR(VLOOKUP(A74,Climatologia_TMED!A:U,9+$E$2,FALSE),"")</f>
        <v>19.99849874936011</v>
      </c>
      <c r="AS74" s="71">
        <f t="shared" si="5"/>
        <v>0.84957817371681443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>
        <v>16.13333333333334</v>
      </c>
      <c r="AI75" s="56">
        <v>16.333333333333329</v>
      </c>
      <c r="AJ75" s="56">
        <v>14.46666666666667</v>
      </c>
      <c r="AK75" s="56"/>
      <c r="AL75" s="56"/>
      <c r="AM75" s="56"/>
      <c r="AN75" s="56"/>
      <c r="AO75" s="56"/>
      <c r="AP75" s="58">
        <f t="shared" si="3"/>
        <v>26</v>
      </c>
      <c r="AQ75" s="71">
        <f t="shared" si="4"/>
        <v>15.829487179487176</v>
      </c>
      <c r="AR75" s="71">
        <f>IFERROR(VLOOKUP(A75,Climatologia_TMED!A:U,9+$E$2,FALSE),"")</f>
        <v>15.18104369196679</v>
      </c>
      <c r="AS75" s="71">
        <f t="shared" si="5"/>
        <v>0.64844348752038528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>
        <v>21.1</v>
      </c>
      <c r="AI76" s="56">
        <v>20.6</v>
      </c>
      <c r="AJ76" s="56">
        <v>20.149999999999999</v>
      </c>
      <c r="AK76" s="56"/>
      <c r="AL76" s="56"/>
      <c r="AM76" s="56"/>
      <c r="AN76" s="56"/>
      <c r="AO76" s="56"/>
      <c r="AP76" s="58">
        <f t="shared" si="3"/>
        <v>26</v>
      </c>
      <c r="AQ76" s="71">
        <f t="shared" si="4"/>
        <v>20.716346153846153</v>
      </c>
      <c r="AR76" s="71">
        <f>IFERROR(VLOOKUP(A76,Climatologia_TMED!A:U,9+$E$2,FALSE),"")</f>
        <v>19.799966611526219</v>
      </c>
      <c r="AS76" s="71">
        <f t="shared" si="5"/>
        <v>0.9163795423199339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>
        <v>24.8</v>
      </c>
      <c r="AI77" s="56">
        <v>23.533333333333331</v>
      </c>
      <c r="AJ77" s="56">
        <v>23.8</v>
      </c>
      <c r="AK77" s="56"/>
      <c r="AL77" s="56"/>
      <c r="AM77" s="56"/>
      <c r="AN77" s="56"/>
      <c r="AO77" s="56"/>
      <c r="AP77" s="58">
        <f t="shared" si="3"/>
        <v>26</v>
      </c>
      <c r="AQ77" s="71">
        <f t="shared" si="4"/>
        <v>23.907692307692301</v>
      </c>
      <c r="AR77" s="71">
        <f>IFERROR(VLOOKUP(A77,Climatologia_TMED!A:U,9+$E$2,FALSE),"")</f>
        <v>22.683240855978919</v>
      </c>
      <c r="AS77" s="71">
        <f t="shared" si="5"/>
        <v>1.2244514517133815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>
        <v>32.25</v>
      </c>
      <c r="AI78" s="56">
        <v>31.1</v>
      </c>
      <c r="AJ78" s="56">
        <v>31.45</v>
      </c>
      <c r="AK78" s="56"/>
      <c r="AL78" s="56"/>
      <c r="AM78" s="56"/>
      <c r="AN78" s="56"/>
      <c r="AO78" s="56"/>
      <c r="AP78" s="58">
        <f t="shared" si="3"/>
        <v>26</v>
      </c>
      <c r="AQ78" s="71">
        <f t="shared" si="4"/>
        <v>31.14423076923077</v>
      </c>
      <c r="AR78" s="71">
        <f>IFERROR(VLOOKUP(A78,Climatologia_TMED!A:U,9+$E$2,FALSE),"")</f>
        <v>29.183929810522649</v>
      </c>
      <c r="AS78" s="71">
        <f t="shared" si="5"/>
        <v>1.960300958708121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>
        <v>32.066666666666663</v>
      </c>
      <c r="AH79" s="56">
        <v>32.133333333333333</v>
      </c>
      <c r="AI79" s="56">
        <v>31.4</v>
      </c>
      <c r="AJ79" s="56">
        <v>31.333333333333329</v>
      </c>
      <c r="AK79" s="56"/>
      <c r="AL79" s="56"/>
      <c r="AM79" s="56"/>
      <c r="AN79" s="56"/>
      <c r="AO79" s="56"/>
      <c r="AP79" s="58">
        <f t="shared" si="3"/>
        <v>24</v>
      </c>
      <c r="AQ79" s="71">
        <f t="shared" si="4"/>
        <v>31.197222222222219</v>
      </c>
      <c r="AR79" s="71">
        <f>IFERROR(VLOOKUP(A79,Climatologia_TMED!A:U,9+$E$2,FALSE),"")</f>
        <v>29.469052884450729</v>
      </c>
      <c r="AS79" s="71">
        <f t="shared" si="5"/>
        <v>1.7281693377714902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>
        <v>21.933333333333341</v>
      </c>
      <c r="AF80" s="56">
        <v>22.06666666666667</v>
      </c>
      <c r="AG80" s="56">
        <v>20.733333333333331</v>
      </c>
      <c r="AH80" s="56">
        <v>22</v>
      </c>
      <c r="AI80" s="56">
        <v>20</v>
      </c>
      <c r="AJ80" s="56"/>
      <c r="AK80" s="56"/>
      <c r="AL80" s="56"/>
      <c r="AM80" s="56"/>
      <c r="AN80" s="56"/>
      <c r="AO80" s="56"/>
      <c r="AP80" s="58">
        <f t="shared" si="3"/>
        <v>25</v>
      </c>
      <c r="AQ80" s="71">
        <f t="shared" si="4"/>
        <v>20.786666666666665</v>
      </c>
      <c r="AR80" s="71">
        <f>IFERROR(VLOOKUP(A80,Climatologia_TMED!A:U,9+$E$2,FALSE),"")</f>
        <v>19.306579428930519</v>
      </c>
      <c r="AS80" s="71">
        <f t="shared" si="5"/>
        <v>1.4800872377361465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>
        <v>24.1</v>
      </c>
      <c r="AI81" s="56">
        <v>25.85</v>
      </c>
      <c r="AJ81" s="56">
        <v>25.55</v>
      </c>
      <c r="AK81" s="56"/>
      <c r="AL81" s="56"/>
      <c r="AM81" s="56"/>
      <c r="AN81" s="56"/>
      <c r="AO81" s="56"/>
      <c r="AP81" s="58">
        <f t="shared" si="3"/>
        <v>23</v>
      </c>
      <c r="AQ81" s="71">
        <f t="shared" si="4"/>
        <v>24.126086956521732</v>
      </c>
      <c r="AR81" s="71">
        <f>IFERROR(VLOOKUP(A81,Climatologia_TMED!A:U,9+$E$2,FALSE),"")</f>
        <v>24.17462990609177</v>
      </c>
      <c r="AS81" s="71">
        <f t="shared" si="5"/>
        <v>-4.8542949570038019E-2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>
        <v>26.933333333333341</v>
      </c>
      <c r="AI82" s="56">
        <v>27.13333333333334</v>
      </c>
      <c r="AJ82" s="56">
        <v>27.466666666666669</v>
      </c>
      <c r="AK82" s="56"/>
      <c r="AL82" s="56"/>
      <c r="AM82" s="56"/>
      <c r="AN82" s="56"/>
      <c r="AO82" s="56"/>
      <c r="AP82" s="58">
        <f t="shared" si="3"/>
        <v>26</v>
      </c>
      <c r="AQ82" s="71">
        <f t="shared" si="4"/>
        <v>26.175641025641028</v>
      </c>
      <c r="AR82" s="71">
        <f>IFERROR(VLOOKUP(A82,Climatologia_TMED!A:U,9+$E$2,FALSE),"")</f>
        <v>25.173722457421579</v>
      </c>
      <c r="AS82" s="71">
        <f t="shared" si="5"/>
        <v>1.0019185682194482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>
        <v>30.65</v>
      </c>
      <c r="AI85" s="56">
        <v>30.7</v>
      </c>
      <c r="AJ85" s="56">
        <v>30.45</v>
      </c>
      <c r="AK85" s="56"/>
      <c r="AL85" s="56"/>
      <c r="AM85" s="56"/>
      <c r="AN85" s="56"/>
      <c r="AO85" s="56"/>
      <c r="AP85" s="58">
        <f t="shared" si="3"/>
        <v>17</v>
      </c>
      <c r="AQ85" s="71">
        <f t="shared" si="4"/>
        <v>30.847058823529409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>
        <v>29.8</v>
      </c>
      <c r="AI86" s="56">
        <v>29.6</v>
      </c>
      <c r="AJ86" s="56">
        <v>30.05</v>
      </c>
      <c r="AK86" s="56"/>
      <c r="AL86" s="56"/>
      <c r="AM86" s="56"/>
      <c r="AN86" s="56"/>
      <c r="AO86" s="56"/>
      <c r="AP86" s="58">
        <f t="shared" si="3"/>
        <v>26</v>
      </c>
      <c r="AQ86" s="71">
        <f t="shared" si="4"/>
        <v>29.761538461538457</v>
      </c>
      <c r="AR86" s="71">
        <f>IFERROR(VLOOKUP(A86,Climatologia_TMED!A:U,9+$E$2,FALSE),"")</f>
        <v>28.612083161554789</v>
      </c>
      <c r="AS86" s="71">
        <f t="shared" si="5"/>
        <v>1.1494552999836678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>
        <v>30.9</v>
      </c>
      <c r="AI87" s="56">
        <v>30.85</v>
      </c>
      <c r="AJ87" s="56">
        <v>27.1</v>
      </c>
      <c r="AK87" s="56"/>
      <c r="AL87" s="56"/>
      <c r="AM87" s="56"/>
      <c r="AN87" s="56"/>
      <c r="AO87" s="56"/>
      <c r="AP87" s="58">
        <f t="shared" si="3"/>
        <v>26</v>
      </c>
      <c r="AQ87" s="71">
        <f t="shared" si="4"/>
        <v>31.650000000000002</v>
      </c>
      <c r="AR87" s="71">
        <f>IFERROR(VLOOKUP(A87,Climatologia_TMED!A:U,9+$E$2,FALSE),"")</f>
        <v>29.006189972462391</v>
      </c>
      <c r="AS87" s="71">
        <f t="shared" si="5"/>
        <v>2.6438100275376115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>
        <v>29.35</v>
      </c>
      <c r="AI88" s="56">
        <v>31.75</v>
      </c>
      <c r="AJ88" s="56">
        <v>28.65</v>
      </c>
      <c r="AK88" s="56"/>
      <c r="AL88" s="56"/>
      <c r="AM88" s="56"/>
      <c r="AN88" s="56"/>
      <c r="AO88" s="56"/>
      <c r="AP88" s="58">
        <f t="shared" si="3"/>
        <v>26</v>
      </c>
      <c r="AQ88" s="71">
        <f t="shared" si="4"/>
        <v>30.130769230769236</v>
      </c>
      <c r="AR88" s="71">
        <f>IFERROR(VLOOKUP(A88,Climatologia_TMED!A:U,9+$E$2,FALSE),"")</f>
        <v>28.69087461597541</v>
      </c>
      <c r="AS88" s="71">
        <f t="shared" si="5"/>
        <v>1.4398946147938254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>
        <v>31.5</v>
      </c>
      <c r="AI89" s="56">
        <v>34.700000000000003</v>
      </c>
      <c r="AJ89" s="56">
        <v>28.65</v>
      </c>
      <c r="AK89" s="56"/>
      <c r="AL89" s="56"/>
      <c r="AM89" s="56"/>
      <c r="AN89" s="56"/>
      <c r="AO89" s="56"/>
      <c r="AP89" s="58">
        <f t="shared" si="3"/>
        <v>20</v>
      </c>
      <c r="AQ89" s="71">
        <f t="shared" si="4"/>
        <v>33.239999999999995</v>
      </c>
      <c r="AR89" s="71">
        <f>IFERROR(VLOOKUP(A89,Climatologia_TMED!A:U,9+$E$2,FALSE),"")</f>
        <v>29.482499041646701</v>
      </c>
      <c r="AS89" s="71">
        <f t="shared" si="5"/>
        <v>3.7575009583532939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>
        <v>30.7</v>
      </c>
      <c r="AI90" s="56">
        <v>31.85</v>
      </c>
      <c r="AJ90" s="56">
        <v>31.25</v>
      </c>
      <c r="AK90" s="56"/>
      <c r="AL90" s="56"/>
      <c r="AM90" s="56"/>
      <c r="AN90" s="56"/>
      <c r="AO90" s="56"/>
      <c r="AP90" s="58">
        <f t="shared" si="3"/>
        <v>22</v>
      </c>
      <c r="AQ90" s="71">
        <f t="shared" si="4"/>
        <v>32.072727272727271</v>
      </c>
      <c r="AR90" s="71">
        <f>IFERROR(VLOOKUP(A90,Climatologia_TMED!A:U,9+$E$2,FALSE),"")</f>
        <v>29.035060057912659</v>
      </c>
      <c r="AS90" s="71">
        <f t="shared" si="5"/>
        <v>3.0376672148146113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32.286111111111119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>
        <v>17.25</v>
      </c>
      <c r="AI92" s="56">
        <v>17.25</v>
      </c>
      <c r="AJ92" s="56">
        <v>17.2</v>
      </c>
      <c r="AK92" s="56"/>
      <c r="AL92" s="56"/>
      <c r="AM92" s="56"/>
      <c r="AN92" s="56"/>
      <c r="AO92" s="56"/>
      <c r="AP92" s="58">
        <f t="shared" si="3"/>
        <v>26</v>
      </c>
      <c r="AQ92" s="71">
        <f t="shared" si="4"/>
        <v>17.549358974358977</v>
      </c>
      <c r="AR92" s="71">
        <f>IFERROR(VLOOKUP(A92,Climatologia_TMED!A:U,9+$E$2,FALSE),"")</f>
        <v>16.163344086021471</v>
      </c>
      <c r="AS92" s="71">
        <f t="shared" si="5"/>
        <v>1.3860148883375061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>
        <v>23.733333333333331</v>
      </c>
      <c r="AI93" s="56">
        <v>23.4</v>
      </c>
      <c r="AJ93" s="56">
        <v>23.533333333333331</v>
      </c>
      <c r="AK93" s="56"/>
      <c r="AL93" s="56"/>
      <c r="AM93" s="56"/>
      <c r="AN93" s="56"/>
      <c r="AO93" s="56"/>
      <c r="AP93" s="58">
        <f t="shared" si="3"/>
        <v>26</v>
      </c>
      <c r="AQ93" s="71">
        <f t="shared" si="4"/>
        <v>23.617948717948714</v>
      </c>
      <c r="AR93" s="71">
        <f>IFERROR(VLOOKUP(A93,Climatologia_TMED!A:U,9+$E$2,FALSE),"")</f>
        <v>22.109487865869621</v>
      </c>
      <c r="AS93" s="71">
        <f t="shared" si="5"/>
        <v>1.508460852079093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>
        <v>17.149999999999999</v>
      </c>
      <c r="AI94" s="56">
        <v>16.850000000000001</v>
      </c>
      <c r="AJ94" s="56">
        <v>16.350000000000001</v>
      </c>
      <c r="AK94" s="56"/>
      <c r="AL94" s="56"/>
      <c r="AM94" s="56"/>
      <c r="AN94" s="56"/>
      <c r="AO94" s="56"/>
      <c r="AP94" s="58">
        <f t="shared" si="3"/>
        <v>26</v>
      </c>
      <c r="AQ94" s="71">
        <f t="shared" si="4"/>
        <v>17.275961538461541</v>
      </c>
      <c r="AR94" s="71">
        <f>IFERROR(VLOOKUP(A94,Climatologia_TMED!A:U,9+$E$2,FALSE),"")</f>
        <v>16.095227145934569</v>
      </c>
      <c r="AS94" s="71">
        <f t="shared" si="5"/>
        <v>1.180734392526972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>
        <v>14.65</v>
      </c>
      <c r="AI95" s="56">
        <v>15.4</v>
      </c>
      <c r="AJ95" s="56">
        <v>14.25</v>
      </c>
      <c r="AK95" s="56"/>
      <c r="AL95" s="56"/>
      <c r="AM95" s="56"/>
      <c r="AN95" s="56"/>
      <c r="AO95" s="56"/>
      <c r="AP95" s="58">
        <f t="shared" si="3"/>
        <v>26</v>
      </c>
      <c r="AQ95" s="71">
        <f t="shared" si="4"/>
        <v>14.673076923076923</v>
      </c>
      <c r="AR95" s="71">
        <f>IFERROR(VLOOKUP(A95,Climatologia_TMED!A:U,9+$E$2,FALSE),"")</f>
        <v>13.63280813615186</v>
      </c>
      <c r="AS95" s="71">
        <f t="shared" si="5"/>
        <v>1.0402687869250631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>
        <v>12.25</v>
      </c>
      <c r="AI98" s="56">
        <v>12.75</v>
      </c>
      <c r="AJ98" s="56">
        <v>13</v>
      </c>
      <c r="AK98" s="56"/>
      <c r="AL98" s="56"/>
      <c r="AM98" s="56"/>
      <c r="AN98" s="56"/>
      <c r="AO98" s="56"/>
      <c r="AP98" s="58">
        <f t="shared" si="3"/>
        <v>26</v>
      </c>
      <c r="AQ98" s="71">
        <f t="shared" si="4"/>
        <v>13.165384615384616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>
        <v>14.16666666666667</v>
      </c>
      <c r="AI99" s="56">
        <v>15.866666666666671</v>
      </c>
      <c r="AJ99" s="56">
        <v>13.96666666666667</v>
      </c>
      <c r="AK99" s="56"/>
      <c r="AL99" s="56"/>
      <c r="AM99" s="56"/>
      <c r="AN99" s="56"/>
      <c r="AO99" s="56"/>
      <c r="AP99" s="58">
        <f t="shared" si="3"/>
        <v>24</v>
      </c>
      <c r="AQ99" s="71">
        <f t="shared" si="4"/>
        <v>14.459722222222226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>
        <v>15.33333333333333</v>
      </c>
      <c r="AI100" s="56"/>
      <c r="AJ100" s="56"/>
      <c r="AK100" s="56"/>
      <c r="AL100" s="56"/>
      <c r="AM100" s="56"/>
      <c r="AN100" s="56"/>
      <c r="AO100" s="56"/>
      <c r="AP100" s="58">
        <f t="shared" si="3"/>
        <v>19</v>
      </c>
      <c r="AQ100" s="71">
        <f t="shared" si="4"/>
        <v>16.245614035087719</v>
      </c>
      <c r="AR100" s="71">
        <f>IFERROR(VLOOKUP(A100,Climatologia_TMED!A:U,9+$E$2,FALSE),"")</f>
        <v>14.309357906107991</v>
      </c>
      <c r="AS100" s="71">
        <f t="shared" si="5"/>
        <v>1.9362561289797284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>
        <v>11.9</v>
      </c>
      <c r="AI101" s="56">
        <v>12.2</v>
      </c>
      <c r="AJ101" s="56"/>
      <c r="AK101" s="56"/>
      <c r="AL101" s="56"/>
      <c r="AM101" s="56"/>
      <c r="AN101" s="56"/>
      <c r="AO101" s="56"/>
      <c r="AP101" s="58">
        <f t="shared" si="3"/>
        <v>20</v>
      </c>
      <c r="AQ101" s="71">
        <f t="shared" si="4"/>
        <v>13.345000000000002</v>
      </c>
      <c r="AR101" s="71">
        <f>IFERROR(VLOOKUP(A101,Climatologia_TMED!A:U,9+$E$2,FALSE),"")</f>
        <v>12.33240366261129</v>
      </c>
      <c r="AS101" s="71">
        <f t="shared" si="5"/>
        <v>1.0125963373887128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>
        <v>11.93333333333333</v>
      </c>
      <c r="AI102" s="56">
        <v>12.733333333333331</v>
      </c>
      <c r="AJ102" s="56">
        <v>13.06666666666667</v>
      </c>
      <c r="AK102" s="56"/>
      <c r="AL102" s="56"/>
      <c r="AM102" s="56"/>
      <c r="AN102" s="56"/>
      <c r="AO102" s="56"/>
      <c r="AP102" s="58">
        <f t="shared" si="3"/>
        <v>23</v>
      </c>
      <c r="AQ102" s="71">
        <f t="shared" si="4"/>
        <v>13.037681159420293</v>
      </c>
      <c r="AR102" s="71">
        <f>IFERROR(VLOOKUP(A102,Climatologia_TMED!A:U,9+$E$2,FALSE),"")</f>
        <v>11.246995369385891</v>
      </c>
      <c r="AS102" s="71">
        <f t="shared" si="5"/>
        <v>1.7906857900344022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>
        <v>18.399999999999999</v>
      </c>
      <c r="AI105" s="56">
        <v>17.866666666666671</v>
      </c>
      <c r="AJ105" s="56">
        <v>18.2</v>
      </c>
      <c r="AK105" s="56"/>
      <c r="AL105" s="56"/>
      <c r="AM105" s="56"/>
      <c r="AN105" s="56"/>
      <c r="AO105" s="56"/>
      <c r="AP105" s="58">
        <f t="shared" si="3"/>
        <v>23</v>
      </c>
      <c r="AQ105" s="71">
        <f t="shared" si="4"/>
        <v>18.133333333333333</v>
      </c>
      <c r="AR105" s="71">
        <f>IFERROR(VLOOKUP(A105,Climatologia_TMED!A:U,9+$E$2,FALSE),"")</f>
        <v>17.044537508476271</v>
      </c>
      <c r="AS105" s="71">
        <f t="shared" si="5"/>
        <v>1.0887958248570619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14</v>
      </c>
      <c r="AQ107" s="71" t="str">
        <f t="shared" si="4"/>
        <v/>
      </c>
      <c r="AR107" s="71">
        <f>IFERROR(VLOOKUP(A107,Climatologia_TMED!A:U,9+$E$2,FALSE),"")</f>
        <v>13.42031660692947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>
        <v>15.65</v>
      </c>
      <c r="AI108" s="56">
        <v>16.25</v>
      </c>
      <c r="AJ108" s="56">
        <v>14.5</v>
      </c>
      <c r="AK108" s="56"/>
      <c r="AL108" s="56"/>
      <c r="AM108" s="56"/>
      <c r="AN108" s="56"/>
      <c r="AO108" s="56"/>
      <c r="AP108" s="58">
        <f t="shared" si="3"/>
        <v>26</v>
      </c>
      <c r="AQ108" s="71">
        <f t="shared" si="4"/>
        <v>14.255769230769232</v>
      </c>
      <c r="AR108" s="71">
        <f>IFERROR(VLOOKUP(A108,Climatologia_TMED!A:U,9+$E$2,FALSE),"")</f>
        <v>14.22903291473181</v>
      </c>
      <c r="AS108" s="71">
        <f t="shared" si="5"/>
        <v>2.6736316037421659E-2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>
        <v>14.6</v>
      </c>
      <c r="AI109" s="56">
        <v>15.7</v>
      </c>
      <c r="AJ109" s="56">
        <v>14.8</v>
      </c>
      <c r="AK109" s="56"/>
      <c r="AL109" s="56"/>
      <c r="AM109" s="56"/>
      <c r="AN109" s="56"/>
      <c r="AO109" s="56"/>
      <c r="AP109" s="58">
        <f t="shared" si="3"/>
        <v>26</v>
      </c>
      <c r="AQ109" s="71">
        <f t="shared" si="4"/>
        <v>14.571153846153845</v>
      </c>
      <c r="AR109" s="71">
        <f>IFERROR(VLOOKUP(A109,Climatologia_TMED!A:U,9+$E$2,FALSE),"")</f>
        <v>13.71376308750779</v>
      </c>
      <c r="AS109" s="71">
        <f t="shared" si="5"/>
        <v>0.85739075864605496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>
        <v>17.533333333333331</v>
      </c>
      <c r="AI110" s="56">
        <v>18.266666666666669</v>
      </c>
      <c r="AJ110" s="56">
        <v>17.533333333333331</v>
      </c>
      <c r="AK110" s="56"/>
      <c r="AL110" s="56"/>
      <c r="AM110" s="56"/>
      <c r="AN110" s="56"/>
      <c r="AO110" s="56"/>
      <c r="AP110" s="58">
        <f t="shared" si="3"/>
        <v>26</v>
      </c>
      <c r="AQ110" s="71">
        <f t="shared" si="4"/>
        <v>17.497435897435892</v>
      </c>
      <c r="AR110" s="71">
        <f>IFERROR(VLOOKUP(A110,Climatologia_TMED!A:U,9+$E$2,FALSE),"")</f>
        <v>16.934962038466889</v>
      </c>
      <c r="AS110" s="71">
        <f t="shared" si="5"/>
        <v>0.56247385896900326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>
        <v>16.06666666666667</v>
      </c>
      <c r="AI111" s="56">
        <v>16.666666666666671</v>
      </c>
      <c r="AJ111" s="56">
        <v>15.933333333333341</v>
      </c>
      <c r="AK111" s="56"/>
      <c r="AL111" s="56"/>
      <c r="AM111" s="56"/>
      <c r="AN111" s="56"/>
      <c r="AO111" s="56"/>
      <c r="AP111" s="58">
        <f t="shared" si="3"/>
        <v>26</v>
      </c>
      <c r="AQ111" s="71">
        <f t="shared" si="4"/>
        <v>15.957692307692311</v>
      </c>
      <c r="AR111" s="71">
        <f>IFERROR(VLOOKUP(A111,Climatologia_TMED!A:U,9+$E$2,FALSE),"")</f>
        <v>15.502363523573189</v>
      </c>
      <c r="AS111" s="71">
        <f t="shared" si="5"/>
        <v>0.45532878411912137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>
        <v>18.266666666666669</v>
      </c>
      <c r="AI112" s="56">
        <v>17.93333333333333</v>
      </c>
      <c r="AJ112" s="56">
        <v>17.533333333333331</v>
      </c>
      <c r="AK112" s="56"/>
      <c r="AL112" s="56"/>
      <c r="AM112" s="56"/>
      <c r="AN112" s="56"/>
      <c r="AO112" s="56"/>
      <c r="AP112" s="58">
        <f t="shared" si="3"/>
        <v>26</v>
      </c>
      <c r="AQ112" s="71">
        <f t="shared" si="4"/>
        <v>17.805128205128202</v>
      </c>
      <c r="AR112" s="71">
        <f>IFERROR(VLOOKUP(A112,Climatologia_TMED!A:U,9+$E$2,FALSE),"")</f>
        <v>16.37969626110208</v>
      </c>
      <c r="AS112" s="71">
        <f t="shared" si="5"/>
        <v>1.4254319440261227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>
        <v>19.666666666666671</v>
      </c>
      <c r="AI113" s="56">
        <v>19.733333333333331</v>
      </c>
      <c r="AJ113" s="56">
        <v>17.666666666666671</v>
      </c>
      <c r="AK113" s="56"/>
      <c r="AL113" s="56"/>
      <c r="AM113" s="56"/>
      <c r="AN113" s="56"/>
      <c r="AO113" s="56"/>
      <c r="AP113" s="58">
        <f t="shared" si="3"/>
        <v>25</v>
      </c>
      <c r="AQ113" s="71">
        <f t="shared" si="4"/>
        <v>19.040000000000003</v>
      </c>
      <c r="AR113" s="71">
        <f>IFERROR(VLOOKUP(A113,Climatologia_TMED!A:U,9+$E$2,FALSE),"")</f>
        <v>18.124387467556531</v>
      </c>
      <c r="AS113" s="71">
        <f t="shared" si="5"/>
        <v>0.91561253244347185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>
        <v>24.86666666666666</v>
      </c>
      <c r="AI114" s="56">
        <v>24.13333333333334</v>
      </c>
      <c r="AJ114" s="56">
        <v>22.8</v>
      </c>
      <c r="AK114" s="56"/>
      <c r="AL114" s="56"/>
      <c r="AM114" s="56"/>
      <c r="AN114" s="56"/>
      <c r="AO114" s="56"/>
      <c r="AP114" s="58">
        <f t="shared" si="3"/>
        <v>9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>
        <v>27.9</v>
      </c>
      <c r="AI115" s="56">
        <v>26.25</v>
      </c>
      <c r="AJ115" s="56">
        <v>25.733333333333331</v>
      </c>
      <c r="AK115" s="56"/>
      <c r="AL115" s="56"/>
      <c r="AM115" s="56"/>
      <c r="AN115" s="56"/>
      <c r="AO115" s="56"/>
      <c r="AP115" s="58">
        <f t="shared" si="3"/>
        <v>26</v>
      </c>
      <c r="AQ115" s="71">
        <f t="shared" si="4"/>
        <v>26.198397435897434</v>
      </c>
      <c r="AR115" s="71">
        <f>IFERROR(VLOOKUP(A115,Climatologia_TMED!A:U,9+$E$2,FALSE),"")</f>
        <v>25.844479977753021</v>
      </c>
      <c r="AS115" s="71">
        <f t="shared" si="5"/>
        <v>0.35391745814441222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>
        <v>19.733333333333331</v>
      </c>
      <c r="AK116" s="56"/>
      <c r="AL116" s="56"/>
      <c r="AM116" s="56"/>
      <c r="AN116" s="56"/>
      <c r="AO116" s="56"/>
      <c r="AP116" s="58">
        <f t="shared" si="3"/>
        <v>24</v>
      </c>
      <c r="AQ116" s="71">
        <f t="shared" si="4"/>
        <v>19.227777777777778</v>
      </c>
      <c r="AR116" s="71">
        <f>IFERROR(VLOOKUP(A116,Climatologia_TMED!A:U,9+$E$2,FALSE),"")</f>
        <v>18.39650516634082</v>
      </c>
      <c r="AS116" s="71">
        <f t="shared" si="5"/>
        <v>0.83127261143695819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>
        <v>26.666666666666671</v>
      </c>
      <c r="AI117" s="56">
        <v>25.533333333333331</v>
      </c>
      <c r="AJ117" s="56">
        <v>24.8</v>
      </c>
      <c r="AK117" s="56"/>
      <c r="AL117" s="56"/>
      <c r="AM117" s="56"/>
      <c r="AN117" s="56"/>
      <c r="AO117" s="56"/>
      <c r="AP117" s="58">
        <f t="shared" si="3"/>
        <v>26</v>
      </c>
      <c r="AQ117" s="71">
        <f t="shared" si="4"/>
        <v>26.174358974358977</v>
      </c>
      <c r="AR117" s="71">
        <f>IFERROR(VLOOKUP(A117,Climatologia_TMED!A:U,9+$E$2,FALSE),"")</f>
        <v>25.368839605734749</v>
      </c>
      <c r="AS117" s="71">
        <f t="shared" si="5"/>
        <v>0.80551936862422835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>
        <v>29.6</v>
      </c>
      <c r="AI118" s="56">
        <v>30.13333333333334</v>
      </c>
      <c r="AJ118" s="56">
        <v>28.266666666666669</v>
      </c>
      <c r="AK118" s="56"/>
      <c r="AL118" s="56"/>
      <c r="AM118" s="56"/>
      <c r="AN118" s="56"/>
      <c r="AO118" s="56"/>
      <c r="AP118" s="58">
        <f t="shared" si="3"/>
        <v>26</v>
      </c>
      <c r="AQ118" s="71">
        <f t="shared" si="4"/>
        <v>28.679487179487182</v>
      </c>
      <c r="AR118" s="71">
        <f>IFERROR(VLOOKUP(A118,Climatologia_TMED!A:U,9+$E$2,FALSE),"")</f>
        <v>25.753279569892459</v>
      </c>
      <c r="AS118" s="71">
        <f t="shared" si="5"/>
        <v>2.9262076095947229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>
        <v>23.8</v>
      </c>
      <c r="AI119" s="56">
        <v>24.6</v>
      </c>
      <c r="AJ119" s="56">
        <v>23.6</v>
      </c>
      <c r="AK119" s="56"/>
      <c r="AL119" s="56"/>
      <c r="AM119" s="56"/>
      <c r="AN119" s="56"/>
      <c r="AO119" s="56"/>
      <c r="AP119" s="58">
        <f t="shared" si="3"/>
        <v>26</v>
      </c>
      <c r="AQ119" s="71">
        <f t="shared" si="4"/>
        <v>23.617948717948721</v>
      </c>
      <c r="AR119" s="71">
        <f>IFERROR(VLOOKUP(A119,Climatologia_TMED!A:U,9+$E$2,FALSE),"")</f>
        <v>21.728440860215009</v>
      </c>
      <c r="AS119" s="71">
        <f t="shared" si="5"/>
        <v>1.8895078577337117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>
        <v>10.866666666666671</v>
      </c>
      <c r="AI122" s="56">
        <v>12.8</v>
      </c>
      <c r="AJ122" s="56"/>
      <c r="AK122" s="56"/>
      <c r="AL122" s="56"/>
      <c r="AM122" s="56"/>
      <c r="AN122" s="56"/>
      <c r="AO122" s="56"/>
      <c r="AP122" s="58">
        <f t="shared" si="3"/>
        <v>25</v>
      </c>
      <c r="AQ122" s="71">
        <f t="shared" si="4"/>
        <v>12.198666666666666</v>
      </c>
      <c r="AR122" s="71">
        <f>IFERROR(VLOOKUP(A122,Climatologia_TMED!A:U,9+$E$2,FALSE),"")</f>
        <v>10.302756995970279</v>
      </c>
      <c r="AS122" s="71">
        <f t="shared" si="5"/>
        <v>1.8959096706963869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>
        <v>16.93333333333333</v>
      </c>
      <c r="AI124" s="56">
        <v>17.333333333333329</v>
      </c>
      <c r="AJ124" s="56">
        <v>16.266666666666669</v>
      </c>
      <c r="AK124" s="56"/>
      <c r="AL124" s="56"/>
      <c r="AM124" s="56"/>
      <c r="AN124" s="56"/>
      <c r="AO124" s="56"/>
      <c r="AP124" s="58">
        <f t="shared" si="3"/>
        <v>25</v>
      </c>
      <c r="AQ124" s="71">
        <f t="shared" si="4"/>
        <v>16.005333333333333</v>
      </c>
      <c r="AR124" s="71">
        <f>IFERROR(VLOOKUP(A124,Climatologia_TMED!A:U,9+$E$2,FALSE),"")</f>
        <v>15.04905895954351</v>
      </c>
      <c r="AS124" s="71">
        <f t="shared" si="5"/>
        <v>0.95627437378982272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>
        <v>10.53333333333333</v>
      </c>
      <c r="AI126" s="56">
        <v>11.53333333333333</v>
      </c>
      <c r="AJ126" s="56">
        <v>11.66666666666667</v>
      </c>
      <c r="AK126" s="56"/>
      <c r="AL126" s="56"/>
      <c r="AM126" s="56"/>
      <c r="AN126" s="56"/>
      <c r="AO126" s="56"/>
      <c r="AP126" s="58">
        <f t="shared" si="3"/>
        <v>19</v>
      </c>
      <c r="AQ126" s="71">
        <f t="shared" si="4"/>
        <v>11.89473684210526</v>
      </c>
      <c r="AR126" s="71">
        <f>IFERROR(VLOOKUP(A126,Climatologia_TMED!A:U,9+$E$2,FALSE),"")</f>
        <v>10.712446216063739</v>
      </c>
      <c r="AS126" s="71">
        <f t="shared" si="5"/>
        <v>1.1822906260415209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>
        <v>14.9</v>
      </c>
      <c r="AI130" s="56">
        <v>15.8</v>
      </c>
      <c r="AJ130" s="56">
        <v>14.4</v>
      </c>
      <c r="AK130" s="56"/>
      <c r="AL130" s="56"/>
      <c r="AM130" s="56"/>
      <c r="AN130" s="56"/>
      <c r="AO130" s="56"/>
      <c r="AP130" s="58">
        <f t="shared" si="3"/>
        <v>26</v>
      </c>
      <c r="AQ130" s="71">
        <f t="shared" si="4"/>
        <v>15.805128205128206</v>
      </c>
      <c r="AR130" s="71">
        <f>IFERROR(VLOOKUP(A130,Climatologia_TMED!A:U,9+$E$2,FALSE),"")</f>
        <v>14.253242374467449</v>
      </c>
      <c r="AS130" s="71">
        <f t="shared" si="5"/>
        <v>1.5518858306607566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>
        <v>18.399999999999999</v>
      </c>
      <c r="AI131" s="56">
        <v>18.8</v>
      </c>
      <c r="AJ131" s="56"/>
      <c r="AK131" s="56"/>
      <c r="AL131" s="56"/>
      <c r="AM131" s="56"/>
      <c r="AN131" s="56"/>
      <c r="AO131" s="56"/>
      <c r="AP131" s="58">
        <f t="shared" si="3"/>
        <v>25</v>
      </c>
      <c r="AQ131" s="71">
        <f t="shared" si="4"/>
        <v>18.356000000000002</v>
      </c>
      <c r="AR131" s="71">
        <f>IFERROR(VLOOKUP(A131,Climatologia_TMED!A:U,9+$E$2,FALSE),"")</f>
        <v>16.792896998903949</v>
      </c>
      <c r="AS131" s="71">
        <f t="shared" si="5"/>
        <v>1.5631030010960529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>
        <v>12.16666666666667</v>
      </c>
      <c r="AI133" s="56">
        <v>13.4</v>
      </c>
      <c r="AJ133" s="56">
        <v>13.2</v>
      </c>
      <c r="AK133" s="56"/>
      <c r="AL133" s="56"/>
      <c r="AM133" s="56"/>
      <c r="AN133" s="56"/>
      <c r="AO133" s="56"/>
      <c r="AP133" s="58">
        <f t="shared" ref="AP133:AP196" si="6">COUNTIF(K133:AO133,"&gt;0")</f>
        <v>26</v>
      </c>
      <c r="AQ133" s="71">
        <f t="shared" ref="AQ133:AQ196" si="7">IF(AP133&gt;14,AVERAGE(K133:AO133),"")</f>
        <v>13.870512820512818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1.2351730458589785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>
        <v>16.333333333333329</v>
      </c>
      <c r="AI134" s="56">
        <v>17.8</v>
      </c>
      <c r="AJ134" s="56">
        <v>16.466666666666669</v>
      </c>
      <c r="AK134" s="56"/>
      <c r="AL134" s="56"/>
      <c r="AM134" s="56"/>
      <c r="AN134" s="56"/>
      <c r="AO134" s="56"/>
      <c r="AP134" s="58">
        <f t="shared" si="6"/>
        <v>26</v>
      </c>
      <c r="AQ134" s="71">
        <f t="shared" si="7"/>
        <v>17.833333333333332</v>
      </c>
      <c r="AR134" s="71">
        <f>IFERROR(VLOOKUP(A134,Climatologia_TMED!A:U,9+$E$2,FALSE),"")</f>
        <v>15.582178842383669</v>
      </c>
      <c r="AS134" s="71">
        <f t="shared" si="8"/>
        <v>2.2511544909496628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>
        <v>19.350000000000001</v>
      </c>
      <c r="AI135" s="56">
        <v>22.05</v>
      </c>
      <c r="AJ135" s="56">
        <v>19.95</v>
      </c>
      <c r="AK135" s="56"/>
      <c r="AL135" s="56"/>
      <c r="AM135" s="56"/>
      <c r="AN135" s="56"/>
      <c r="AO135" s="56"/>
      <c r="AP135" s="58">
        <f t="shared" si="6"/>
        <v>26</v>
      </c>
      <c r="AQ135" s="71">
        <f t="shared" si="7"/>
        <v>20.667307692307695</v>
      </c>
      <c r="AR135" s="71">
        <f>IFERROR(VLOOKUP(A135,Climatologia_TMED!A:U,9+$E$2,FALSE),"")</f>
        <v>18.681880637405129</v>
      </c>
      <c r="AS135" s="71">
        <f t="shared" si="8"/>
        <v>1.9854270549025657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>
        <v>10.4</v>
      </c>
      <c r="AI136" s="56">
        <v>10.53333333333333</v>
      </c>
      <c r="AJ136" s="56">
        <v>10.6</v>
      </c>
      <c r="AK136" s="56"/>
      <c r="AL136" s="56"/>
      <c r="AM136" s="56"/>
      <c r="AN136" s="56"/>
      <c r="AO136" s="56"/>
      <c r="AP136" s="58">
        <f t="shared" si="6"/>
        <v>26</v>
      </c>
      <c r="AQ136" s="71">
        <f t="shared" si="7"/>
        <v>11.138461538461534</v>
      </c>
      <c r="AR136" s="71">
        <f>IFERROR(VLOOKUP(A136,Climatologia_TMED!A:U,9+$E$2,FALSE),"")</f>
        <v>10.85765007415646</v>
      </c>
      <c r="AS136" s="71">
        <f t="shared" si="8"/>
        <v>0.28081146430507431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>
        <v>20.733333333333331</v>
      </c>
      <c r="AI138" s="56">
        <v>22.4</v>
      </c>
      <c r="AJ138" s="56">
        <v>21</v>
      </c>
      <c r="AK138" s="56"/>
      <c r="AL138" s="56"/>
      <c r="AM138" s="56"/>
      <c r="AN138" s="56"/>
      <c r="AO138" s="56"/>
      <c r="AP138" s="58">
        <f t="shared" si="6"/>
        <v>26</v>
      </c>
      <c r="AQ138" s="71">
        <f t="shared" si="7"/>
        <v>22.176923076923078</v>
      </c>
      <c r="AR138" s="71">
        <f>IFERROR(VLOOKUP(A138,Climatologia_TMED!A:U,9+$E$2,FALSE),"")</f>
        <v>20.010221097348399</v>
      </c>
      <c r="AS138" s="71">
        <f t="shared" si="8"/>
        <v>2.1667019795746789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>
        <v>12.7</v>
      </c>
      <c r="AI139" s="56">
        <v>13.85</v>
      </c>
      <c r="AJ139" s="56">
        <v>14.074999999999999</v>
      </c>
      <c r="AK139" s="56"/>
      <c r="AL139" s="56"/>
      <c r="AM139" s="56"/>
      <c r="AN139" s="56"/>
      <c r="AO139" s="56"/>
      <c r="AP139" s="58">
        <f t="shared" si="6"/>
        <v>26</v>
      </c>
      <c r="AQ139" s="71">
        <f t="shared" si="7"/>
        <v>14.00480769230769</v>
      </c>
      <c r="AR139" s="71">
        <f>IFERROR(VLOOKUP(A139,Climatologia_TMED!A:U,9+$E$2,FALSE),"")</f>
        <v>12.904217772834009</v>
      </c>
      <c r="AS139" s="71">
        <f t="shared" si="8"/>
        <v>1.1005899194736806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>
        <v>15.75</v>
      </c>
      <c r="AI140" s="56">
        <v>15.6</v>
      </c>
      <c r="AJ140" s="56">
        <v>15.35</v>
      </c>
      <c r="AK140" s="56"/>
      <c r="AL140" s="56"/>
      <c r="AM140" s="56"/>
      <c r="AN140" s="56"/>
      <c r="AO140" s="56"/>
      <c r="AP140" s="58">
        <f t="shared" si="6"/>
        <v>26</v>
      </c>
      <c r="AQ140" s="71">
        <f t="shared" si="7"/>
        <v>16.401923076923079</v>
      </c>
      <c r="AR140" s="71">
        <f>IFERROR(VLOOKUP(A140,Climatologia_TMED!A:U,9+$E$2,FALSE),"")</f>
        <v>15.594350571769921</v>
      </c>
      <c r="AS140" s="71">
        <f t="shared" si="8"/>
        <v>0.80757250515315882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>
        <v>10.93333333333333</v>
      </c>
      <c r="AI141" s="56">
        <v>12.93333333333333</v>
      </c>
      <c r="AJ141" s="56">
        <v>12.733333333333331</v>
      </c>
      <c r="AK141" s="56"/>
      <c r="AL141" s="56"/>
      <c r="AM141" s="56"/>
      <c r="AN141" s="56"/>
      <c r="AO141" s="56"/>
      <c r="AP141" s="58">
        <f t="shared" si="6"/>
        <v>26</v>
      </c>
      <c r="AQ141" s="71">
        <f t="shared" si="7"/>
        <v>13.420512820512823</v>
      </c>
      <c r="AR141" s="71">
        <f>IFERROR(VLOOKUP(A141,Climatologia_TMED!A:U,9+$E$2,FALSE),"")</f>
        <v>12.014029396838049</v>
      </c>
      <c r="AS141" s="71">
        <f t="shared" si="8"/>
        <v>1.4064834236747732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>
        <v>10.85</v>
      </c>
      <c r="AI142" s="56">
        <v>11.15</v>
      </c>
      <c r="AJ142" s="56">
        <v>10.55</v>
      </c>
      <c r="AK142" s="56"/>
      <c r="AL142" s="56"/>
      <c r="AM142" s="56"/>
      <c r="AN142" s="56"/>
      <c r="AO142" s="56"/>
      <c r="AP142" s="58">
        <f t="shared" si="6"/>
        <v>25</v>
      </c>
      <c r="AQ142" s="71">
        <f t="shared" si="7"/>
        <v>11.599</v>
      </c>
      <c r="AR142" s="71">
        <f>IFERROR(VLOOKUP(A142,Climatologia_TMED!A:U,9+$E$2,FALSE),"")</f>
        <v>10.528985976481801</v>
      </c>
      <c r="AS142" s="71">
        <f t="shared" si="8"/>
        <v>1.0700140235181994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>
        <v>27.333333333333329</v>
      </c>
      <c r="AI143" s="56">
        <v>28.533333333333331</v>
      </c>
      <c r="AJ143" s="56">
        <v>28.06666666666667</v>
      </c>
      <c r="AK143" s="56"/>
      <c r="AL143" s="56"/>
      <c r="AM143" s="56"/>
      <c r="AN143" s="56"/>
      <c r="AO143" s="56"/>
      <c r="AP143" s="58">
        <f t="shared" si="6"/>
        <v>26</v>
      </c>
      <c r="AQ143" s="71">
        <f t="shared" si="7"/>
        <v>27.674358974358974</v>
      </c>
      <c r="AR143" s="71">
        <f>IFERROR(VLOOKUP(A143,Climatologia_TMED!A:U,9+$E$2,FALSE),"")</f>
        <v>25.861940092165881</v>
      </c>
      <c r="AS143" s="71">
        <f t="shared" si="8"/>
        <v>1.8124188821930929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>
        <v>16.533333333333331</v>
      </c>
      <c r="AK144" s="56"/>
      <c r="AL144" s="56"/>
      <c r="AM144" s="56"/>
      <c r="AN144" s="56"/>
      <c r="AO144" s="56"/>
      <c r="AP144" s="58">
        <f t="shared" si="6"/>
        <v>24</v>
      </c>
      <c r="AQ144" s="71">
        <f t="shared" si="7"/>
        <v>15.636111111111111</v>
      </c>
      <c r="AR144" s="71">
        <f>IFERROR(VLOOKUP(A144,Climatologia_TMED!A:U,9+$E$2,FALSE),"")</f>
        <v>15.712885753914289</v>
      </c>
      <c r="AS144" s="71">
        <f t="shared" si="8"/>
        <v>-7.6774642803178139E-2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>
        <v>20.266666666666669</v>
      </c>
      <c r="AI145" s="56">
        <v>19.333333333333329</v>
      </c>
      <c r="AJ145" s="56">
        <v>18.733333333333331</v>
      </c>
      <c r="AK145" s="56"/>
      <c r="AL145" s="56"/>
      <c r="AM145" s="56"/>
      <c r="AN145" s="56"/>
      <c r="AO145" s="56"/>
      <c r="AP145" s="58">
        <f t="shared" si="6"/>
        <v>26</v>
      </c>
      <c r="AQ145" s="71">
        <f t="shared" si="7"/>
        <v>19.443589743589744</v>
      </c>
      <c r="AR145" s="71">
        <f>IFERROR(VLOOKUP(A145,Climatologia_TMED!A:U,9+$E$2,FALSE),"")</f>
        <v>19.042016534498121</v>
      </c>
      <c r="AS145" s="71">
        <f t="shared" si="8"/>
        <v>0.40157320909162308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>
        <v>31</v>
      </c>
      <c r="AI146" s="56">
        <v>29.666666666666671</v>
      </c>
      <c r="AJ146" s="56">
        <v>29.2</v>
      </c>
      <c r="AK146" s="56"/>
      <c r="AL146" s="56"/>
      <c r="AM146" s="56"/>
      <c r="AN146" s="56"/>
      <c r="AO146" s="56"/>
      <c r="AP146" s="58">
        <f t="shared" si="6"/>
        <v>26</v>
      </c>
      <c r="AQ146" s="71">
        <f t="shared" si="7"/>
        <v>29.897435897435894</v>
      </c>
      <c r="AR146" s="71">
        <f>IFERROR(VLOOKUP(A146,Climatologia_TMED!A:U,9+$E$2,FALSE),"")</f>
        <v>28.757199537797231</v>
      </c>
      <c r="AS146" s="71">
        <f t="shared" si="8"/>
        <v>1.1402363596386635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>
        <v>25.86666666666666</v>
      </c>
      <c r="AI147" s="56">
        <v>25.733333333333331</v>
      </c>
      <c r="AJ147" s="56">
        <v>25.333333333333329</v>
      </c>
      <c r="AK147" s="56"/>
      <c r="AL147" s="56"/>
      <c r="AM147" s="56"/>
      <c r="AN147" s="56"/>
      <c r="AO147" s="56"/>
      <c r="AP147" s="58">
        <f t="shared" si="6"/>
        <v>26</v>
      </c>
      <c r="AQ147" s="71">
        <f t="shared" si="7"/>
        <v>25.182051282051287</v>
      </c>
      <c r="AR147" s="71">
        <f>IFERROR(VLOOKUP(A147,Climatologia_TMED!A:U,9+$E$2,FALSE),"")</f>
        <v>23.50405749186336</v>
      </c>
      <c r="AS147" s="71">
        <f t="shared" si="8"/>
        <v>1.6779937901879265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>
        <v>31.43333333333333</v>
      </c>
      <c r="AI148" s="56">
        <v>30</v>
      </c>
      <c r="AJ148" s="56">
        <v>30.266666666666669</v>
      </c>
      <c r="AK148" s="56"/>
      <c r="AL148" s="56"/>
      <c r="AM148" s="56"/>
      <c r="AN148" s="56"/>
      <c r="AO148" s="56"/>
      <c r="AP148" s="58">
        <f t="shared" si="6"/>
        <v>24</v>
      </c>
      <c r="AQ148" s="71">
        <f t="shared" si="7"/>
        <v>30.326388888888886</v>
      </c>
      <c r="AR148" s="71">
        <f>IFERROR(VLOOKUP(A148,Climatologia_TMED!A:U,9+$E$2,FALSE),"")</f>
        <v>28.641531230854781</v>
      </c>
      <c r="AS148" s="71">
        <f t="shared" si="8"/>
        <v>1.6848576580341046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>
        <v>24.266666666666669</v>
      </c>
      <c r="AI149" s="56">
        <v>23.066666666666659</v>
      </c>
      <c r="AJ149" s="56">
        <v>22.333333333333329</v>
      </c>
      <c r="AK149" s="56"/>
      <c r="AL149" s="56"/>
      <c r="AM149" s="56"/>
      <c r="AN149" s="56"/>
      <c r="AO149" s="56"/>
      <c r="AP149" s="58">
        <f t="shared" si="6"/>
        <v>26</v>
      </c>
      <c r="AQ149" s="71">
        <f t="shared" si="7"/>
        <v>23.523076923076925</v>
      </c>
      <c r="AR149" s="71">
        <f>IFERROR(VLOOKUP(A149,Climatologia_TMED!A:U,9+$E$2,FALSE),"")</f>
        <v>21.876067772952851</v>
      </c>
      <c r="AS149" s="71">
        <f t="shared" si="8"/>
        <v>1.6470091501240738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23</v>
      </c>
      <c r="AQ151" s="71">
        <f t="shared" si="7"/>
        <v>23.279710144927535</v>
      </c>
      <c r="AR151" s="71">
        <f>IFERROR(VLOOKUP(A151,Climatologia_TMED!A:U,9+$E$2,FALSE),"")</f>
        <v>21.81258727862064</v>
      </c>
      <c r="AS151" s="71">
        <f t="shared" si="8"/>
        <v>1.4671228663068945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>
        <v>19.649999999999999</v>
      </c>
      <c r="AI154" s="56">
        <v>20.2</v>
      </c>
      <c r="AJ154" s="56">
        <v>20.6</v>
      </c>
      <c r="AK154" s="56"/>
      <c r="AL154" s="56"/>
      <c r="AM154" s="56"/>
      <c r="AN154" s="56"/>
      <c r="AO154" s="56"/>
      <c r="AP154" s="58">
        <f t="shared" si="6"/>
        <v>26</v>
      </c>
      <c r="AQ154" s="71">
        <f t="shared" si="7"/>
        <v>20.467307692307692</v>
      </c>
      <c r="AR154" s="71">
        <f>IFERROR(VLOOKUP(A154,Climatologia_TMED!A:U,9+$E$2,FALSE),"")</f>
        <v>19.513620754394939</v>
      </c>
      <c r="AS154" s="71">
        <f t="shared" si="8"/>
        <v>0.95368693791275305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>
        <v>27.666666666666671</v>
      </c>
      <c r="AI155" s="56">
        <v>28.4</v>
      </c>
      <c r="AJ155" s="56">
        <v>27.86666666666666</v>
      </c>
      <c r="AK155" s="56"/>
      <c r="AL155" s="56"/>
      <c r="AM155" s="56"/>
      <c r="AN155" s="56"/>
      <c r="AO155" s="56"/>
      <c r="AP155" s="58">
        <f t="shared" si="6"/>
        <v>26</v>
      </c>
      <c r="AQ155" s="71">
        <f t="shared" si="7"/>
        <v>28.876923076923074</v>
      </c>
      <c r="AR155" s="71">
        <f>IFERROR(VLOOKUP(A155,Climatologia_TMED!A:U,9+$E$2,FALSE),"")</f>
        <v>27.722786560855798</v>
      </c>
      <c r="AS155" s="71">
        <f t="shared" si="8"/>
        <v>1.1541365160672754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>
        <v>28.266666666666669</v>
      </c>
      <c r="AI157" s="56">
        <v>30.2</v>
      </c>
      <c r="AJ157" s="56">
        <v>27.333333333333329</v>
      </c>
      <c r="AK157" s="56"/>
      <c r="AL157" s="56"/>
      <c r="AM157" s="56"/>
      <c r="AN157" s="56"/>
      <c r="AO157" s="56"/>
      <c r="AP157" s="58">
        <f t="shared" si="6"/>
        <v>22</v>
      </c>
      <c r="AQ157" s="71">
        <f t="shared" si="7"/>
        <v>29.315151515151523</v>
      </c>
      <c r="AR157" s="71">
        <f>IFERROR(VLOOKUP(A157,Climatologia_TMED!A:U,9+$E$2,FALSE),"")</f>
        <v>27.584427496609401</v>
      </c>
      <c r="AS157" s="71">
        <f t="shared" si="8"/>
        <v>1.7307240185421229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>
        <v>29.86666666666666</v>
      </c>
      <c r="AI158" s="56">
        <v>29.86666666666666</v>
      </c>
      <c r="AJ158" s="56">
        <v>29.333333333333329</v>
      </c>
      <c r="AK158" s="56"/>
      <c r="AL158" s="56"/>
      <c r="AM158" s="56"/>
      <c r="AN158" s="56"/>
      <c r="AO158" s="56"/>
      <c r="AP158" s="58">
        <f t="shared" si="6"/>
        <v>23</v>
      </c>
      <c r="AQ158" s="71">
        <f t="shared" si="7"/>
        <v>30.00869565217392</v>
      </c>
      <c r="AR158" s="71">
        <f>IFERROR(VLOOKUP(A158,Climatologia_TMED!A:U,9+$E$2,FALSE),"")</f>
        <v>28.0184121670802</v>
      </c>
      <c r="AS158" s="71">
        <f t="shared" si="8"/>
        <v>1.9902834850937197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>
        <v>20</v>
      </c>
      <c r="AI159" s="56">
        <v>19.93333333333333</v>
      </c>
      <c r="AJ159" s="56">
        <v>19.43333333333333</v>
      </c>
      <c r="AK159" s="56"/>
      <c r="AL159" s="56"/>
      <c r="AM159" s="56"/>
      <c r="AN159" s="56"/>
      <c r="AO159" s="56"/>
      <c r="AP159" s="58">
        <f t="shared" si="6"/>
        <v>23</v>
      </c>
      <c r="AQ159" s="71">
        <f t="shared" si="7"/>
        <v>20.311594202898551</v>
      </c>
      <c r="AR159" s="71">
        <f>IFERROR(VLOOKUP(A159,Climatologia_TMED!A:U,9+$E$2,FALSE),"")</f>
        <v>18.9909371146904</v>
      </c>
      <c r="AS159" s="71">
        <f t="shared" si="8"/>
        <v>1.3206570882081508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>
        <v>27.333333333333329</v>
      </c>
      <c r="AJ160" s="56">
        <v>27.13333333333334</v>
      </c>
      <c r="AK160" s="56"/>
      <c r="AL160" s="56"/>
      <c r="AM160" s="56"/>
      <c r="AN160" s="56"/>
      <c r="AO160" s="56"/>
      <c r="AP160" s="58">
        <f t="shared" si="6"/>
        <v>25</v>
      </c>
      <c r="AQ160" s="71">
        <f t="shared" si="7"/>
        <v>27.034666666666677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>
        <v>18.93333333333333</v>
      </c>
      <c r="AI161" s="56"/>
      <c r="AJ161" s="56"/>
      <c r="AK161" s="56"/>
      <c r="AL161" s="56"/>
      <c r="AM161" s="56"/>
      <c r="AN161" s="56"/>
      <c r="AO161" s="56"/>
      <c r="AP161" s="58">
        <f t="shared" si="6"/>
        <v>14</v>
      </c>
      <c r="AQ161" s="71" t="str">
        <f t="shared" si="7"/>
        <v/>
      </c>
      <c r="AR161" s="71">
        <f>IFERROR(VLOOKUP(A161,Climatologia_TMED!A:U,9+$E$2,FALSE),"")</f>
        <v>17.55988006564905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>
        <v>28.666666666666671</v>
      </c>
      <c r="AI162" s="56">
        <v>29.333333333333329</v>
      </c>
      <c r="AJ162" s="56">
        <v>27.86666666666666</v>
      </c>
      <c r="AK162" s="56"/>
      <c r="AL162" s="56"/>
      <c r="AM162" s="56"/>
      <c r="AN162" s="56"/>
      <c r="AO162" s="56"/>
      <c r="AP162" s="58">
        <f t="shared" si="6"/>
        <v>26</v>
      </c>
      <c r="AQ162" s="71">
        <f t="shared" si="7"/>
        <v>28.900000000000009</v>
      </c>
      <c r="AR162" s="71">
        <f>IFERROR(VLOOKUP(A162,Climatologia_TMED!A:U,9+$E$2,FALSE),"")</f>
        <v>28.573537387874278</v>
      </c>
      <c r="AS162" s="71">
        <f t="shared" si="8"/>
        <v>0.3264626121257308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>
        <v>21.466666666666669</v>
      </c>
      <c r="AI163" s="56">
        <v>20.733333333333331</v>
      </c>
      <c r="AJ163" s="56">
        <v>21.333333333333329</v>
      </c>
      <c r="AK163" s="56"/>
      <c r="AL163" s="56"/>
      <c r="AM163" s="56"/>
      <c r="AN163" s="56"/>
      <c r="AO163" s="56"/>
      <c r="AP163" s="58">
        <f t="shared" si="6"/>
        <v>26</v>
      </c>
      <c r="AQ163" s="71">
        <f t="shared" si="7"/>
        <v>21.402564102564103</v>
      </c>
      <c r="AR163" s="71">
        <f>IFERROR(VLOOKUP(A163,Climatologia_TMED!A:U,9+$E$2,FALSE),"")</f>
        <v>21.249423815600579</v>
      </c>
      <c r="AS163" s="71">
        <f t="shared" si="8"/>
        <v>0.15314028696352366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>
        <v>25.25</v>
      </c>
      <c r="AI164" s="56">
        <v>25.35</v>
      </c>
      <c r="AJ164" s="56">
        <v>25.75</v>
      </c>
      <c r="AK164" s="56"/>
      <c r="AL164" s="56"/>
      <c r="AM164" s="56"/>
      <c r="AN164" s="56"/>
      <c r="AO164" s="56"/>
      <c r="AP164" s="58">
        <f t="shared" si="6"/>
        <v>26</v>
      </c>
      <c r="AQ164" s="71">
        <f t="shared" si="7"/>
        <v>25.411538461538463</v>
      </c>
      <c r="AR164" s="71">
        <f>IFERROR(VLOOKUP(A164,Climatologia_TMED!A:U,9+$E$2,FALSE),"")</f>
        <v>23.79792760916008</v>
      </c>
      <c r="AS164" s="71">
        <f t="shared" si="8"/>
        <v>1.6136108523783825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>
        <v>14.33333333333333</v>
      </c>
      <c r="AI166" s="56">
        <v>14.733333333333331</v>
      </c>
      <c r="AJ166" s="56">
        <v>12.66666666666667</v>
      </c>
      <c r="AK166" s="56"/>
      <c r="AL166" s="56"/>
      <c r="AM166" s="56"/>
      <c r="AN166" s="56"/>
      <c r="AO166" s="56"/>
      <c r="AP166" s="58">
        <f t="shared" si="6"/>
        <v>24</v>
      </c>
      <c r="AQ166" s="71">
        <f t="shared" si="7"/>
        <v>14.77777777777778</v>
      </c>
      <c r="AR166" s="71">
        <f>IFERROR(VLOOKUP(A166,Climatologia_TMED!A:U,9+$E$2,FALSE),"")</f>
        <v>13.598469534050141</v>
      </c>
      <c r="AS166" s="71">
        <f t="shared" si="8"/>
        <v>1.1793082437276396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>
        <v>20.2</v>
      </c>
      <c r="AI167" s="56">
        <v>21.06666666666667</v>
      </c>
      <c r="AJ167" s="56">
        <v>20.533333333333331</v>
      </c>
      <c r="AK167" s="56"/>
      <c r="AL167" s="56"/>
      <c r="AM167" s="56"/>
      <c r="AN167" s="56"/>
      <c r="AO167" s="56"/>
      <c r="AP167" s="58">
        <f t="shared" si="6"/>
        <v>24</v>
      </c>
      <c r="AQ167" s="71">
        <f t="shared" si="7"/>
        <v>20.669444444444448</v>
      </c>
      <c r="AR167" s="71">
        <f>IFERROR(VLOOKUP(A167,Climatologia_TMED!A:U,9+$E$2,FALSE),"")</f>
        <v>19.03556780961064</v>
      </c>
      <c r="AS167" s="71">
        <f t="shared" si="8"/>
        <v>1.6338766348338076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>
        <v>27.85</v>
      </c>
      <c r="AI168" s="56">
        <v>28.85</v>
      </c>
      <c r="AJ168" s="56">
        <v>26.45</v>
      </c>
      <c r="AK168" s="56"/>
      <c r="AL168" s="56"/>
      <c r="AM168" s="56"/>
      <c r="AN168" s="56"/>
      <c r="AO168" s="56"/>
      <c r="AP168" s="58">
        <f t="shared" si="6"/>
        <v>24</v>
      </c>
      <c r="AQ168" s="71">
        <f t="shared" si="7"/>
        <v>27.800000000000008</v>
      </c>
      <c r="AR168" s="71">
        <f>IFERROR(VLOOKUP(A168,Climatologia_TMED!A:U,9+$E$2,FALSE),"")</f>
        <v>26.065864466066579</v>
      </c>
      <c r="AS168" s="71">
        <f t="shared" si="8"/>
        <v>1.7341355339334292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>
        <v>7.9</v>
      </c>
      <c r="AI169" s="56">
        <v>9.4499999999999993</v>
      </c>
      <c r="AJ169" s="56">
        <v>9.3000000000000007</v>
      </c>
      <c r="AK169" s="56"/>
      <c r="AL169" s="56"/>
      <c r="AM169" s="56"/>
      <c r="AN169" s="56"/>
      <c r="AO169" s="56"/>
      <c r="AP169" s="58">
        <f t="shared" si="6"/>
        <v>26</v>
      </c>
      <c r="AQ169" s="71">
        <f t="shared" si="7"/>
        <v>8.9788461538461526</v>
      </c>
      <c r="AR169" s="71">
        <f>IFERROR(VLOOKUP(A169,Climatologia_TMED!A:U,9+$E$2,FALSE),"")</f>
        <v>8.5421242813545373</v>
      </c>
      <c r="AS169" s="71">
        <f t="shared" si="8"/>
        <v>0.43672187249161531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>
        <v>26.333333333333329</v>
      </c>
      <c r="AI170" s="56">
        <v>26.466666666666669</v>
      </c>
      <c r="AJ170" s="56">
        <v>23.2</v>
      </c>
      <c r="AK170" s="56"/>
      <c r="AL170" s="56"/>
      <c r="AM170" s="56"/>
      <c r="AN170" s="56"/>
      <c r="AO170" s="56"/>
      <c r="AP170" s="58">
        <f t="shared" si="6"/>
        <v>18</v>
      </c>
      <c r="AQ170" s="71">
        <f t="shared" si="7"/>
        <v>24.755555555555553</v>
      </c>
      <c r="AR170" s="71">
        <f>IFERROR(VLOOKUP(A170,Climatologia_TMED!A:U,9+$E$2,FALSE),"")</f>
        <v>24.090623941862471</v>
      </c>
      <c r="AS170" s="71">
        <f t="shared" si="8"/>
        <v>0.6649316136930814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>
        <v>21.133333333333329</v>
      </c>
      <c r="AI171" s="56">
        <v>19.866666666666671</v>
      </c>
      <c r="AJ171" s="56">
        <v>19.8</v>
      </c>
      <c r="AK171" s="56"/>
      <c r="AL171" s="56"/>
      <c r="AM171" s="56"/>
      <c r="AN171" s="56"/>
      <c r="AO171" s="56"/>
      <c r="AP171" s="58">
        <f t="shared" si="6"/>
        <v>25</v>
      </c>
      <c r="AQ171" s="71">
        <f t="shared" si="7"/>
        <v>20.754666666666665</v>
      </c>
      <c r="AR171" s="71">
        <f>IFERROR(VLOOKUP(A171,Climatologia_TMED!A:U,9+$E$2,FALSE),"")</f>
        <v>18.928926022251918</v>
      </c>
      <c r="AS171" s="71">
        <f t="shared" si="8"/>
        <v>1.825740644414747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>
        <v>26.75</v>
      </c>
      <c r="AI172" s="56">
        <v>25.55</v>
      </c>
      <c r="AJ172" s="56">
        <v>25.3</v>
      </c>
      <c r="AK172" s="56"/>
      <c r="AL172" s="56"/>
      <c r="AM172" s="56"/>
      <c r="AN172" s="56"/>
      <c r="AO172" s="56"/>
      <c r="AP172" s="58">
        <f t="shared" si="6"/>
        <v>24</v>
      </c>
      <c r="AQ172" s="71">
        <f t="shared" si="7"/>
        <v>25.658333333333331</v>
      </c>
      <c r="AR172" s="71">
        <f>IFERROR(VLOOKUP(A172,Climatologia_TMED!A:U,9+$E$2,FALSE),"")</f>
        <v>24.438628368511878</v>
      </c>
      <c r="AS172" s="71">
        <f t="shared" si="8"/>
        <v>1.2197049648214531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>
        <v>25.45</v>
      </c>
      <c r="AI173" s="56">
        <v>24.65</v>
      </c>
      <c r="AJ173" s="56">
        <v>25.1</v>
      </c>
      <c r="AK173" s="56"/>
      <c r="AL173" s="56"/>
      <c r="AM173" s="56"/>
      <c r="AN173" s="56"/>
      <c r="AO173" s="56"/>
      <c r="AP173" s="58">
        <f t="shared" si="6"/>
        <v>26</v>
      </c>
      <c r="AQ173" s="71">
        <f t="shared" si="7"/>
        <v>25.123397435897441</v>
      </c>
      <c r="AR173" s="71">
        <f>IFERROR(VLOOKUP(A173,Climatologia_TMED!A:U,9+$E$2,FALSE),"")</f>
        <v>24.054408602150531</v>
      </c>
      <c r="AS173" s="71">
        <f t="shared" si="8"/>
        <v>1.0689888337469107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>
        <v>13.6</v>
      </c>
      <c r="AI174" s="56">
        <v>14.4</v>
      </c>
      <c r="AJ174" s="56">
        <v>14.53333333333333</v>
      </c>
      <c r="AK174" s="56"/>
      <c r="AL174" s="56"/>
      <c r="AM174" s="56"/>
      <c r="AN174" s="56"/>
      <c r="AO174" s="56"/>
      <c r="AP174" s="58">
        <f t="shared" si="6"/>
        <v>25</v>
      </c>
      <c r="AQ174" s="71">
        <f t="shared" si="7"/>
        <v>13.880000000000003</v>
      </c>
      <c r="AR174" s="71">
        <f>IFERROR(VLOOKUP(A174,Climatologia_TMED!A:U,9+$E$2,FALSE),"")</f>
        <v>12.06075185767186</v>
      </c>
      <c r="AS174" s="71">
        <f t="shared" si="8"/>
        <v>1.8192481423281421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>
        <v>22.06666666666667</v>
      </c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24.585714285714282</v>
      </c>
      <c r="AR175" s="71">
        <f>IFERROR(VLOOKUP(A175,Climatologia_TMED!A:U,9+$E$2,FALSE),"")</f>
        <v>23.532893345747048</v>
      </c>
      <c r="AS175" s="71">
        <f t="shared" si="8"/>
        <v>1.0528209399672335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>
        <v>25.133333333333329</v>
      </c>
      <c r="AI178" s="56">
        <v>23.86666666666666</v>
      </c>
      <c r="AJ178" s="56">
        <v>24.6</v>
      </c>
      <c r="AK178" s="56"/>
      <c r="AL178" s="56"/>
      <c r="AM178" s="56"/>
      <c r="AN178" s="56"/>
      <c r="AO178" s="56"/>
      <c r="AP178" s="58">
        <f t="shared" si="6"/>
        <v>21</v>
      </c>
      <c r="AQ178" s="71">
        <f t="shared" si="7"/>
        <v>25.12063492063492</v>
      </c>
      <c r="AR178" s="71">
        <f>IFERROR(VLOOKUP(A178,Climatologia_TMED!A:U,9+$E$2,FALSE),"")</f>
        <v>24.552280346878891</v>
      </c>
      <c r="AS178" s="71">
        <f t="shared" si="8"/>
        <v>0.56835457375602871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>
        <v>16.8</v>
      </c>
      <c r="AH179" s="56">
        <v>17.7</v>
      </c>
      <c r="AI179" s="56">
        <v>18.45</v>
      </c>
      <c r="AJ179" s="56">
        <v>17.649999999999999</v>
      </c>
      <c r="AK179" s="56"/>
      <c r="AL179" s="56"/>
      <c r="AM179" s="56"/>
      <c r="AN179" s="56"/>
      <c r="AO179" s="56"/>
      <c r="AP179" s="58">
        <f t="shared" si="6"/>
        <v>22</v>
      </c>
      <c r="AQ179" s="71">
        <f t="shared" si="7"/>
        <v>18.572727272727271</v>
      </c>
      <c r="AR179" s="71">
        <f>IFERROR(VLOOKUP(A179,Climatologia_TMED!A:U,9+$E$2,FALSE),"")</f>
        <v>17.587583683516652</v>
      </c>
      <c r="AS179" s="71">
        <f t="shared" si="8"/>
        <v>0.98514358921061884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>
        <v>31.333333333333329</v>
      </c>
      <c r="AI181" s="56">
        <v>30.466666666666669</v>
      </c>
      <c r="AJ181" s="56">
        <v>31.8</v>
      </c>
      <c r="AK181" s="56"/>
      <c r="AL181" s="56"/>
      <c r="AM181" s="56"/>
      <c r="AN181" s="56"/>
      <c r="AO181" s="56"/>
      <c r="AP181" s="58">
        <f t="shared" si="6"/>
        <v>26</v>
      </c>
      <c r="AQ181" s="71">
        <f t="shared" si="7"/>
        <v>30.941025641025639</v>
      </c>
      <c r="AR181" s="71">
        <f>IFERROR(VLOOKUP(A181,Climatologia_TMED!A:U,9+$E$2,FALSE),"")</f>
        <v>28.533236387569811</v>
      </c>
      <c r="AS181" s="71">
        <f t="shared" si="8"/>
        <v>2.4077892534558281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>
        <v>29.2</v>
      </c>
      <c r="AI184" s="56">
        <v>27.2</v>
      </c>
      <c r="AJ184" s="56">
        <v>28.333333333333329</v>
      </c>
      <c r="AK184" s="56"/>
      <c r="AL184" s="56"/>
      <c r="AM184" s="56"/>
      <c r="AN184" s="56"/>
      <c r="AO184" s="56"/>
      <c r="AP184" s="58">
        <f t="shared" si="6"/>
        <v>26</v>
      </c>
      <c r="AQ184" s="71">
        <f t="shared" si="7"/>
        <v>28.110256410256415</v>
      </c>
      <c r="AR184" s="71">
        <f>IFERROR(VLOOKUP(A184,Climatologia_TMED!A:U,9+$E$2,FALSE),"")</f>
        <v>26.638371217616989</v>
      </c>
      <c r="AS184" s="71">
        <f t="shared" si="8"/>
        <v>1.4718851926394265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>
        <v>28.866666666666671</v>
      </c>
      <c r="AI185" s="56">
        <v>28.93333333333333</v>
      </c>
      <c r="AJ185" s="56">
        <v>29.266666666666669</v>
      </c>
      <c r="AK185" s="56"/>
      <c r="AL185" s="56"/>
      <c r="AM185" s="56"/>
      <c r="AN185" s="56"/>
      <c r="AO185" s="56"/>
      <c r="AP185" s="58">
        <f t="shared" si="6"/>
        <v>22</v>
      </c>
      <c r="AQ185" s="71">
        <f t="shared" si="7"/>
        <v>28.930303030303026</v>
      </c>
      <c r="AR185" s="71">
        <f>IFERROR(VLOOKUP(A185,Climatologia_TMED!A:U,9+$E$2,FALSE),"")</f>
        <v>27.608632285011371</v>
      </c>
      <c r="AS185" s="71">
        <f t="shared" si="8"/>
        <v>1.3216707452916552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>
        <v>17.06666666666667</v>
      </c>
      <c r="AI188" s="56">
        <v>16.8</v>
      </c>
      <c r="AJ188" s="56">
        <v>16.2</v>
      </c>
      <c r="AK188" s="56"/>
      <c r="AL188" s="56"/>
      <c r="AM188" s="56"/>
      <c r="AN188" s="56"/>
      <c r="AO188" s="56"/>
      <c r="AP188" s="58">
        <f t="shared" si="6"/>
        <v>26</v>
      </c>
      <c r="AQ188" s="71">
        <f t="shared" si="7"/>
        <v>17.31538461538462</v>
      </c>
      <c r="AR188" s="71">
        <f>IFERROR(VLOOKUP(A188,Climatologia_TMED!A:U,9+$E$2,FALSE),"")</f>
        <v>15.99559198953173</v>
      </c>
      <c r="AS188" s="71">
        <f t="shared" si="8"/>
        <v>1.3197926258528891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>
        <v>31.466666666666669</v>
      </c>
      <c r="AI189" s="56">
        <v>31.86666666666666</v>
      </c>
      <c r="AJ189" s="56">
        <v>31.13333333333334</v>
      </c>
      <c r="AK189" s="56"/>
      <c r="AL189" s="56"/>
      <c r="AM189" s="56"/>
      <c r="AN189" s="56"/>
      <c r="AO189" s="56"/>
      <c r="AP189" s="58">
        <f t="shared" si="6"/>
        <v>20</v>
      </c>
      <c r="AQ189" s="71">
        <f t="shared" si="7"/>
        <v>31.980000000000008</v>
      </c>
      <c r="AR189" s="71">
        <f>IFERROR(VLOOKUP(A189,Climatologia_TMED!A:U,9+$E$2,FALSE),"")</f>
        <v>29.85158435805279</v>
      </c>
      <c r="AS189" s="71">
        <f t="shared" si="8"/>
        <v>2.1284156419472176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>
        <v>30.93333333333333</v>
      </c>
      <c r="AI190" s="56">
        <v>30.4</v>
      </c>
      <c r="AJ190" s="56">
        <v>28.6</v>
      </c>
      <c r="AK190" s="56"/>
      <c r="AL190" s="56"/>
      <c r="AM190" s="56"/>
      <c r="AN190" s="56"/>
      <c r="AO190" s="56"/>
      <c r="AP190" s="58">
        <f t="shared" si="6"/>
        <v>26</v>
      </c>
      <c r="AQ190" s="71">
        <f t="shared" si="7"/>
        <v>30.533333333333335</v>
      </c>
      <c r="AR190" s="71">
        <f>IFERROR(VLOOKUP(A190,Climatologia_TMED!A:U,9+$E$2,FALSE),"")</f>
        <v>28.916523661482469</v>
      </c>
      <c r="AS190" s="71">
        <f t="shared" si="8"/>
        <v>1.6168096718508664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>
        <v>18.25</v>
      </c>
      <c r="AI191" s="56">
        <v>18.25</v>
      </c>
      <c r="AJ191" s="56">
        <v>17.399999999999999</v>
      </c>
      <c r="AK191" s="56"/>
      <c r="AL191" s="56"/>
      <c r="AM191" s="56"/>
      <c r="AN191" s="56"/>
      <c r="AO191" s="56"/>
      <c r="AP191" s="58">
        <f t="shared" si="6"/>
        <v>26</v>
      </c>
      <c r="AQ191" s="71">
        <f t="shared" si="7"/>
        <v>18.599999999999998</v>
      </c>
      <c r="AR191" s="71">
        <f>IFERROR(VLOOKUP(A191,Climatologia_TMED!A:U,9+$E$2,FALSE),"")</f>
        <v>17.387219014660609</v>
      </c>
      <c r="AS191" s="71">
        <f t="shared" si="8"/>
        <v>1.2127809853393892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>
        <v>27.06666666666667</v>
      </c>
      <c r="AI192" s="56">
        <v>26</v>
      </c>
      <c r="AJ192" s="56">
        <v>26.2</v>
      </c>
      <c r="AK192" s="56"/>
      <c r="AL192" s="56"/>
      <c r="AM192" s="56"/>
      <c r="AN192" s="56"/>
      <c r="AO192" s="56"/>
      <c r="AP192" s="58">
        <f t="shared" si="6"/>
        <v>26</v>
      </c>
      <c r="AQ192" s="71">
        <f t="shared" si="7"/>
        <v>26.151282051282063</v>
      </c>
      <c r="AR192" s="71">
        <f>IFERROR(VLOOKUP(A192,Climatologia_TMED!A:U,9+$E$2,FALSE),"")</f>
        <v>25.244507180818172</v>
      </c>
      <c r="AS192" s="71">
        <f t="shared" si="8"/>
        <v>0.9067748704638916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>
        <v>28.5</v>
      </c>
      <c r="AI193" s="56">
        <v>26.7</v>
      </c>
      <c r="AJ193" s="56">
        <v>26.55</v>
      </c>
      <c r="AK193" s="56"/>
      <c r="AL193" s="56"/>
      <c r="AM193" s="56"/>
      <c r="AN193" s="56"/>
      <c r="AO193" s="56"/>
      <c r="AP193" s="58">
        <f t="shared" si="6"/>
        <v>23</v>
      </c>
      <c r="AQ193" s="71">
        <f t="shared" si="7"/>
        <v>27.063043478260866</v>
      </c>
      <c r="AR193" s="71">
        <f>IFERROR(VLOOKUP(A193,Climatologia_TMED!A:U,9+$E$2,FALSE),"")</f>
        <v>26.35276954000917</v>
      </c>
      <c r="AS193" s="71">
        <f t="shared" si="8"/>
        <v>0.71027393825169582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>
        <v>21.733333333333331</v>
      </c>
      <c r="AI194" s="56">
        <v>20.733333333333331</v>
      </c>
      <c r="AJ194" s="56">
        <v>20.6</v>
      </c>
      <c r="AK194" s="56"/>
      <c r="AL194" s="56"/>
      <c r="AM194" s="56"/>
      <c r="AN194" s="56"/>
      <c r="AO194" s="56"/>
      <c r="AP194" s="58">
        <f t="shared" si="6"/>
        <v>26</v>
      </c>
      <c r="AQ194" s="71">
        <f t="shared" si="7"/>
        <v>21.194871794871798</v>
      </c>
      <c r="AR194" s="71">
        <f>IFERROR(VLOOKUP(A194,Climatologia_TMED!A:U,9+$E$2,FALSE),"")</f>
        <v>21.60766179705843</v>
      </c>
      <c r="AS194" s="71">
        <f t="shared" si="8"/>
        <v>-0.41279000218663242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>
        <v>26.6</v>
      </c>
      <c r="AI195" s="56">
        <v>26.2</v>
      </c>
      <c r="AJ195" s="56">
        <v>26.266666666666669</v>
      </c>
      <c r="AK195" s="56"/>
      <c r="AL195" s="56"/>
      <c r="AM195" s="56"/>
      <c r="AN195" s="56"/>
      <c r="AO195" s="56"/>
      <c r="AP195" s="58">
        <f t="shared" si="6"/>
        <v>26</v>
      </c>
      <c r="AQ195" s="71">
        <f t="shared" si="7"/>
        <v>27.638461538461538</v>
      </c>
      <c r="AR195" s="71">
        <f>IFERROR(VLOOKUP(A195,Climatologia_TMED!A:U,9+$E$2,FALSE),"")</f>
        <v>25.687488209709759</v>
      </c>
      <c r="AS195" s="71">
        <f t="shared" si="8"/>
        <v>1.950973328751779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>
        <v>20.6</v>
      </c>
      <c r="AI196" s="56">
        <v>21.733333333333331</v>
      </c>
      <c r="AJ196" s="56">
        <v>21.2</v>
      </c>
      <c r="AK196" s="56"/>
      <c r="AL196" s="56"/>
      <c r="AM196" s="56"/>
      <c r="AN196" s="56"/>
      <c r="AO196" s="56"/>
      <c r="AP196" s="58">
        <f t="shared" si="6"/>
        <v>26</v>
      </c>
      <c r="AQ196" s="71">
        <f t="shared" si="7"/>
        <v>22.125641025641031</v>
      </c>
      <c r="AR196" s="71">
        <f>IFERROR(VLOOKUP(A196,Climatologia_TMED!A:U,9+$E$2,FALSE),"")</f>
        <v>20.22375647152527</v>
      </c>
      <c r="AS196" s="71">
        <f t="shared" si="8"/>
        <v>1.9018845541157603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>
        <v>27.066666666666659</v>
      </c>
      <c r="AI197" s="56">
        <v>27.333333333333329</v>
      </c>
      <c r="AJ197" s="56">
        <v>24.6</v>
      </c>
      <c r="AK197" s="56"/>
      <c r="AL197" s="56"/>
      <c r="AM197" s="56"/>
      <c r="AN197" s="56"/>
      <c r="AO197" s="56"/>
      <c r="AP197" s="58">
        <f t="shared" ref="AP197:AP260" si="9">COUNTIF(K197:AO197,"&gt;0")</f>
        <v>26</v>
      </c>
      <c r="AQ197" s="71">
        <f t="shared" ref="AQ197:AQ260" si="10">IF(AP197&gt;14,AVERAGE(K197:AO197),"")</f>
        <v>25.884615384615383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1.7572323834448547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>
        <v>21.5</v>
      </c>
      <c r="AI198" s="56">
        <v>22.35</v>
      </c>
      <c r="AJ198" s="56">
        <v>21.55</v>
      </c>
      <c r="AK198" s="56"/>
      <c r="AL198" s="56"/>
      <c r="AM198" s="56"/>
      <c r="AN198" s="56"/>
      <c r="AO198" s="56"/>
      <c r="AP198" s="58">
        <f t="shared" si="9"/>
        <v>26</v>
      </c>
      <c r="AQ198" s="71">
        <f t="shared" si="10"/>
        <v>21.621153846153842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>
        <v>16.8</v>
      </c>
      <c r="AI199" s="56">
        <v>16.399999999999999</v>
      </c>
      <c r="AJ199" s="56">
        <v>16.13333333333334</v>
      </c>
      <c r="AK199" s="56"/>
      <c r="AL199" s="56"/>
      <c r="AM199" s="56"/>
      <c r="AN199" s="56"/>
      <c r="AO199" s="56"/>
      <c r="AP199" s="58">
        <f t="shared" si="9"/>
        <v>26</v>
      </c>
      <c r="AQ199" s="71">
        <f t="shared" si="10"/>
        <v>16.592307692307692</v>
      </c>
      <c r="AR199" s="71">
        <f>IFERROR(VLOOKUP(A199,Climatologia_TMED!A:U,9+$E$2,FALSE),"")</f>
        <v>15.78766040619119</v>
      </c>
      <c r="AS199" s="71">
        <f t="shared" si="11"/>
        <v>0.80464728611650216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>
        <v>13.15</v>
      </c>
      <c r="AI200" s="56">
        <v>14.65</v>
      </c>
      <c r="AJ200" s="56">
        <v>14.3</v>
      </c>
      <c r="AK200" s="56"/>
      <c r="AL200" s="56"/>
      <c r="AM200" s="56"/>
      <c r="AN200" s="56"/>
      <c r="AO200" s="56"/>
      <c r="AP200" s="58">
        <f t="shared" si="9"/>
        <v>26</v>
      </c>
      <c r="AQ200" s="71">
        <f t="shared" si="10"/>
        <v>14.667307692307693</v>
      </c>
      <c r="AR200" s="71">
        <f>IFERROR(VLOOKUP(A200,Climatologia_TMED!A:U,9+$E$2,FALSE),"")</f>
        <v>13.36561246778364</v>
      </c>
      <c r="AS200" s="71">
        <f t="shared" si="11"/>
        <v>1.3016952245240532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>
        <v>27.4</v>
      </c>
      <c r="AI201" s="56">
        <v>27</v>
      </c>
      <c r="AJ201" s="56">
        <v>26.4</v>
      </c>
      <c r="AK201" s="56"/>
      <c r="AL201" s="56"/>
      <c r="AM201" s="56"/>
      <c r="AN201" s="56"/>
      <c r="AO201" s="56"/>
      <c r="AP201" s="58">
        <f t="shared" si="9"/>
        <v>26</v>
      </c>
      <c r="AQ201" s="71">
        <f t="shared" si="10"/>
        <v>27.111538461538455</v>
      </c>
      <c r="AR201" s="71">
        <f>IFERROR(VLOOKUP(A201,Climatologia_TMED!A:U,9+$E$2,FALSE),"")</f>
        <v>25.53752926833085</v>
      </c>
      <c r="AS201" s="71">
        <f t="shared" si="11"/>
        <v>1.5740091932076048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>
        <v>12.2</v>
      </c>
      <c r="AH202" s="56">
        <v>13.15</v>
      </c>
      <c r="AI202" s="56"/>
      <c r="AJ202" s="56"/>
      <c r="AK202" s="56"/>
      <c r="AL202" s="56"/>
      <c r="AM202" s="56"/>
      <c r="AN202" s="56"/>
      <c r="AO202" s="56"/>
      <c r="AP202" s="58">
        <f t="shared" si="9"/>
        <v>18</v>
      </c>
      <c r="AQ202" s="71">
        <f t="shared" si="10"/>
        <v>13.502777777777776</v>
      </c>
      <c r="AR202" s="71">
        <f>IFERROR(VLOOKUP(A202,Climatologia_TMED!A:U,9+$E$2,FALSE),"")</f>
        <v>12.80356395850392</v>
      </c>
      <c r="AS202" s="71">
        <f t="shared" si="11"/>
        <v>0.69921381927385617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>
        <v>14.06666666666667</v>
      </c>
      <c r="AI203" s="56"/>
      <c r="AJ203" s="56"/>
      <c r="AK203" s="56"/>
      <c r="AL203" s="56"/>
      <c r="AM203" s="56"/>
      <c r="AN203" s="56"/>
      <c r="AO203" s="56"/>
      <c r="AP203" s="58">
        <f t="shared" si="9"/>
        <v>22</v>
      </c>
      <c r="AQ203" s="71">
        <f t="shared" si="10"/>
        <v>14.072727272727271</v>
      </c>
      <c r="AR203" s="71">
        <f>IFERROR(VLOOKUP(A203,Climatologia_TMED!A:U,9+$E$2,FALSE),"")</f>
        <v>11.97087485048104</v>
      </c>
      <c r="AS203" s="71">
        <f t="shared" si="11"/>
        <v>2.10185242224623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>
        <v>15.4</v>
      </c>
      <c r="AI205" s="56">
        <v>14.5</v>
      </c>
      <c r="AJ205" s="56"/>
      <c r="AK205" s="56"/>
      <c r="AL205" s="56"/>
      <c r="AM205" s="56"/>
      <c r="AN205" s="56"/>
      <c r="AO205" s="56"/>
      <c r="AP205" s="58">
        <f t="shared" si="9"/>
        <v>25</v>
      </c>
      <c r="AQ205" s="71">
        <f t="shared" si="10"/>
        <v>14.475999999999999</v>
      </c>
      <c r="AR205" s="71">
        <f>IFERROR(VLOOKUP(A205,Climatologia_TMED!A:U,9+$E$2,FALSE),"")</f>
        <v>13.414894116817671</v>
      </c>
      <c r="AS205" s="71">
        <f t="shared" si="11"/>
        <v>1.0611058831823286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21</v>
      </c>
      <c r="AQ206" s="71">
        <f t="shared" si="10"/>
        <v>13.552380952380954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>
        <v>14.133333333333329</v>
      </c>
      <c r="AI207" s="56"/>
      <c r="AJ207" s="56"/>
      <c r="AK207" s="56"/>
      <c r="AL207" s="56"/>
      <c r="AM207" s="56"/>
      <c r="AN207" s="56"/>
      <c r="AO207" s="56"/>
      <c r="AP207" s="58">
        <f t="shared" si="9"/>
        <v>17</v>
      </c>
      <c r="AQ207" s="71">
        <f t="shared" si="10"/>
        <v>14.270588235294115</v>
      </c>
      <c r="AR207" s="71">
        <f>IFERROR(VLOOKUP(A207,Climatologia_TMED!A:U,9+$E$2,FALSE),"")</f>
        <v>13.56077580506272</v>
      </c>
      <c r="AS207" s="71">
        <f t="shared" si="11"/>
        <v>0.70981243023139484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>
        <v>11.2</v>
      </c>
      <c r="AI208" s="56">
        <v>11.4</v>
      </c>
      <c r="AJ208" s="56">
        <v>14.5</v>
      </c>
      <c r="AK208" s="56"/>
      <c r="AL208" s="56"/>
      <c r="AM208" s="56"/>
      <c r="AN208" s="56"/>
      <c r="AO208" s="56"/>
      <c r="AP208" s="58">
        <f t="shared" si="9"/>
        <v>25</v>
      </c>
      <c r="AQ208" s="71">
        <f t="shared" si="10"/>
        <v>14.163999999999996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>
        <v>11.35</v>
      </c>
      <c r="AI209" s="56">
        <v>11.45</v>
      </c>
      <c r="AJ209" s="56"/>
      <c r="AK209" s="56"/>
      <c r="AL209" s="56"/>
      <c r="AM209" s="56"/>
      <c r="AN209" s="56"/>
      <c r="AO209" s="56"/>
      <c r="AP209" s="58">
        <f t="shared" si="9"/>
        <v>25</v>
      </c>
      <c r="AQ209" s="71">
        <f t="shared" si="10"/>
        <v>11.096000000000002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23</v>
      </c>
      <c r="AQ210" s="71">
        <f t="shared" si="10"/>
        <v>15.75</v>
      </c>
      <c r="AR210" s="71">
        <f>IFERROR(VLOOKUP(A210,Climatologia_TMED!A:U,9+$E$2,FALSE),"")</f>
        <v>14.32967020528393</v>
      </c>
      <c r="AS210" s="71">
        <f t="shared" si="11"/>
        <v>1.4203297947160696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>
        <v>8.15</v>
      </c>
      <c r="AI211" s="56"/>
      <c r="AJ211" s="56"/>
      <c r="AK211" s="56"/>
      <c r="AL211" s="56"/>
      <c r="AM211" s="56"/>
      <c r="AN211" s="56"/>
      <c r="AO211" s="56"/>
      <c r="AP211" s="58">
        <f t="shared" si="9"/>
        <v>24</v>
      </c>
      <c r="AQ211" s="71">
        <f t="shared" si="10"/>
        <v>8.6291666666666647</v>
      </c>
      <c r="AR211" s="71">
        <f>IFERROR(VLOOKUP(A211,Climatologia_TMED!A:U,9+$E$2,FALSE),"")</f>
        <v>8.0801328816903997</v>
      </c>
      <c r="AS211" s="71">
        <f t="shared" si="11"/>
        <v>0.54903378497626498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>
        <v>26.55</v>
      </c>
      <c r="AI212" s="56">
        <v>26.15</v>
      </c>
      <c r="AJ212" s="56">
        <v>27.05</v>
      </c>
      <c r="AK212" s="56"/>
      <c r="AL212" s="56"/>
      <c r="AM212" s="56"/>
      <c r="AN212" s="56"/>
      <c r="AO212" s="56"/>
      <c r="AP212" s="58">
        <f t="shared" si="9"/>
        <v>26</v>
      </c>
      <c r="AQ212" s="71">
        <f t="shared" si="10"/>
        <v>25.617307692307683</v>
      </c>
      <c r="AR212" s="71" t="str">
        <f>IFERROR(VLOOKUP(A212,Climatologia_TMED!A:U,9+$E$2,FALSE),"")</f>
        <v/>
      </c>
      <c r="AS212" s="71" t="str">
        <f t="shared" si="11"/>
        <v/>
      </c>
    </row>
  </sheetData>
  <autoFilter ref="AF1:AF212" xr:uid="{00000000-0009-0000-0000-000000000000}"/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2026-07-27T15:22:28Z</dcterms:modified>
</cp:coreProperties>
</file>