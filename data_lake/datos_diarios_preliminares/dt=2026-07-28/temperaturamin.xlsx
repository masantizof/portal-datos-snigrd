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5759BFF-C07C-493A-8864-37A22B0E589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Temperatura!$AK$1:$AK$209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/>
  <c r="AT198" i="1"/>
  <c r="AW198" i="1" s="1"/>
  <c r="AR198" i="1"/>
  <c r="AP198" i="1"/>
  <c r="AQ198" i="1" s="1"/>
  <c r="AS198" i="1" s="1"/>
  <c r="AV197" i="1" a="1"/>
  <c r="AV197" i="1" s="1"/>
  <c r="AU197" i="1" a="1"/>
  <c r="AU197" i="1" s="1"/>
  <c r="AT197" i="1"/>
  <c r="AW197" i="1" s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S184" i="1"/>
  <c r="AR184" i="1"/>
  <c r="AP184" i="1"/>
  <c r="AQ184" i="1" s="1"/>
  <c r="AV183" i="1" a="1"/>
  <c r="AV183" i="1" s="1"/>
  <c r="AU183" i="1" a="1"/>
  <c r="AU183" i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S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S166" i="1" s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Q161" i="1"/>
  <c r="AS161" i="1" s="1"/>
  <c r="AP161" i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Q148" i="1"/>
  <c r="AP148" i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/>
  <c r="AT136" i="1"/>
  <c r="AR136" i="1"/>
  <c r="AP136" i="1"/>
  <c r="AQ136" i="1" s="1"/>
  <c r="AV135" i="1" a="1"/>
  <c r="AV135" i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Q134" i="1"/>
  <c r="AS134" i="1" s="1"/>
  <c r="AP134" i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/>
  <c r="AU131" i="1" a="1"/>
  <c r="AU131" i="1" s="1"/>
  <c r="AW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S127" i="1"/>
  <c r="AR127" i="1"/>
  <c r="AQ127" i="1"/>
  <c r="AP127" i="1"/>
  <c r="AV126" i="1" a="1"/>
  <c r="AV126" i="1" s="1"/>
  <c r="AU126" i="1" a="1"/>
  <c r="AU126" i="1" s="1"/>
  <c r="AW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W123" i="1" s="1"/>
  <c r="AT123" i="1"/>
  <c r="AR123" i="1"/>
  <c r="AP123" i="1"/>
  <c r="AQ123" i="1" s="1"/>
  <c r="AS123" i="1" s="1"/>
  <c r="AV122" i="1" a="1"/>
  <c r="AV122" i="1" s="1"/>
  <c r="AU122" i="1" a="1"/>
  <c r="AU122" i="1"/>
  <c r="AW122" i="1" s="1"/>
  <c r="AT122" i="1"/>
  <c r="AR122" i="1"/>
  <c r="AQ122" i="1"/>
  <c r="AP122" i="1"/>
  <c r="AV121" i="1" a="1"/>
  <c r="AV121" i="1" s="1"/>
  <c r="AU121" i="1" a="1"/>
  <c r="AU121" i="1" s="1"/>
  <c r="AW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S117" i="1" s="1"/>
  <c r="AV116" i="1" a="1"/>
  <c r="AV116" i="1" s="1"/>
  <c r="AU116" i="1" a="1"/>
  <c r="AU116" i="1"/>
  <c r="AW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Q113" i="1"/>
  <c r="AP113" i="1"/>
  <c r="AV112" i="1" a="1"/>
  <c r="AV112" i="1" s="1"/>
  <c r="AU112" i="1" a="1"/>
  <c r="AU112" i="1" s="1"/>
  <c r="AW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Q107" i="1"/>
  <c r="AP107" i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 s="1"/>
  <c r="AU96" i="1" a="1"/>
  <c r="AU96" i="1"/>
  <c r="AW96" i="1" s="1"/>
  <c r="AT96" i="1"/>
  <c r="AR96" i="1"/>
  <c r="AP96" i="1"/>
  <c r="AQ96" i="1" s="1"/>
  <c r="AS96" i="1" s="1"/>
  <c r="AV95" i="1" a="1"/>
  <c r="AV95" i="1" s="1"/>
  <c r="AU95" i="1" a="1"/>
  <c r="AU95" i="1" s="1"/>
  <c r="AW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Q93" i="1"/>
  <c r="AS93" i="1" s="1"/>
  <c r="AP93" i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Q88" i="1"/>
  <c r="AS88" i="1" s="1"/>
  <c r="AP88" i="1"/>
  <c r="AV87" i="1" a="1"/>
  <c r="AV87" i="1"/>
  <c r="AU87" i="1" a="1"/>
  <c r="AU87" i="1" s="1"/>
  <c r="AT87" i="1"/>
  <c r="AR87" i="1"/>
  <c r="AQ87" i="1"/>
  <c r="AS87" i="1" s="1"/>
  <c r="AP87" i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W83" i="1" s="1"/>
  <c r="AT83" i="1"/>
  <c r="AR83" i="1"/>
  <c r="AP83" i="1"/>
  <c r="AQ83" i="1" s="1"/>
  <c r="AV82" i="1" a="1"/>
  <c r="AV82" i="1" s="1"/>
  <c r="AU82" i="1" a="1"/>
  <c r="AU82" i="1" s="1"/>
  <c r="AW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Q78" i="1"/>
  <c r="AS78" i="1" s="1"/>
  <c r="AP78" i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W76" i="1" s="1"/>
  <c r="AT76" i="1"/>
  <c r="AR76" i="1"/>
  <c r="AP76" i="1"/>
  <c r="AQ76" i="1" s="1"/>
  <c r="AS76" i="1" s="1"/>
  <c r="AV75" i="1" a="1"/>
  <c r="AV75" i="1" s="1"/>
  <c r="AU75" i="1" a="1"/>
  <c r="AU75" i="1"/>
  <c r="AT75" i="1"/>
  <c r="AR75" i="1"/>
  <c r="AP75" i="1"/>
  <c r="AQ75" i="1" s="1"/>
  <c r="AV74" i="1" a="1"/>
  <c r="AV74" i="1" s="1"/>
  <c r="AU74" i="1" a="1"/>
  <c r="AU74" i="1" s="1"/>
  <c r="AW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/>
  <c r="AT72" i="1"/>
  <c r="AR72" i="1"/>
  <c r="AP72" i="1"/>
  <c r="AQ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Q69" i="1"/>
  <c r="AP69" i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W60" i="1" s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W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W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/>
  <c r="AT46" i="1"/>
  <c r="AW46" i="1" s="1"/>
  <c r="AR46" i="1"/>
  <c r="AP46" i="1"/>
  <c r="AQ46" i="1" s="1"/>
  <c r="AV45" i="1" a="1"/>
  <c r="AV45" i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/>
  <c r="AT34" i="1"/>
  <c r="AW34" i="1" s="1"/>
  <c r="AR34" i="1"/>
  <c r="AP34" i="1"/>
  <c r="AQ34" i="1" s="1"/>
  <c r="AV33" i="1" a="1"/>
  <c r="AV33" i="1" s="1"/>
  <c r="AU33" i="1" a="1"/>
  <c r="AU33" i="1" s="1"/>
  <c r="AT33" i="1"/>
  <c r="AW33" i="1" s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/>
  <c r="AU27" i="1" a="1"/>
  <c r="AU27" i="1" s="1"/>
  <c r="AT27" i="1"/>
  <c r="AW27" i="1" s="1"/>
  <c r="AR27" i="1"/>
  <c r="AP27" i="1"/>
  <c r="AQ27" i="1" s="1"/>
  <c r="AV26" i="1" a="1"/>
  <c r="AV26" i="1" s="1"/>
  <c r="AU26" i="1" a="1"/>
  <c r="AU26" i="1"/>
  <c r="AT26" i="1"/>
  <c r="AW26" i="1" s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W19" i="1" s="1"/>
  <c r="AR19" i="1"/>
  <c r="AP19" i="1"/>
  <c r="AQ19" i="1" s="1"/>
  <c r="AV18" i="1" a="1"/>
  <c r="AV18" i="1" s="1"/>
  <c r="AU18" i="1" a="1"/>
  <c r="AU18" i="1"/>
  <c r="AT18" i="1"/>
  <c r="AW18" i="1" s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/>
  <c r="AU9" i="1" a="1"/>
  <c r="AU9" i="1" s="1"/>
  <c r="AT9" i="1"/>
  <c r="AW9" i="1" s="1"/>
  <c r="AR9" i="1"/>
  <c r="AP9" i="1"/>
  <c r="AQ9" i="1" s="1"/>
  <c r="AV8" i="1" a="1"/>
  <c r="AV8" i="1" s="1"/>
  <c r="AU8" i="1" a="1"/>
  <c r="AU8" i="1"/>
  <c r="AT8" i="1"/>
  <c r="AW8" i="1" s="1"/>
  <c r="AR8" i="1"/>
  <c r="AP8" i="1"/>
  <c r="AQ8" i="1" s="1"/>
  <c r="AV7" i="1" a="1"/>
  <c r="AV7" i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6" i="1" l="1"/>
  <c r="AS24" i="1"/>
  <c r="AS31" i="1"/>
  <c r="AS42" i="1"/>
  <c r="AS131" i="1"/>
  <c r="AS145" i="1"/>
  <c r="AW148" i="1"/>
  <c r="AS171" i="1"/>
  <c r="AW110" i="1"/>
  <c r="AW156" i="1"/>
  <c r="AW17" i="1"/>
  <c r="AW24" i="1"/>
  <c r="AW53" i="1"/>
  <c r="AS103" i="1"/>
  <c r="AS128" i="1"/>
  <c r="AS164" i="1"/>
  <c r="AS186" i="1"/>
  <c r="AW68" i="1"/>
  <c r="AW88" i="1"/>
  <c r="AW92" i="1"/>
  <c r="AW135" i="1"/>
  <c r="AW138" i="1"/>
  <c r="AW149" i="1"/>
  <c r="AS11" i="1"/>
  <c r="AS25" i="1"/>
  <c r="AS32" i="1"/>
  <c r="AS58" i="1"/>
  <c r="AS82" i="1"/>
  <c r="AS89" i="1"/>
  <c r="AS118" i="1"/>
  <c r="AS132" i="1"/>
  <c r="AW168" i="1"/>
  <c r="AS86" i="1"/>
  <c r="AS122" i="1"/>
  <c r="AS79" i="1"/>
  <c r="AW100" i="1"/>
  <c r="AS108" i="1"/>
  <c r="AS115" i="1"/>
  <c r="AS154" i="1"/>
  <c r="AW176" i="1"/>
  <c r="AS180" i="1"/>
  <c r="AS191" i="1"/>
  <c r="AS195" i="1"/>
  <c r="AW69" i="1"/>
  <c r="AW40" i="1"/>
  <c r="AS158" i="1"/>
  <c r="AS199" i="1"/>
  <c r="AS203" i="1"/>
  <c r="AW14" i="1"/>
  <c r="AS69" i="1"/>
  <c r="AS26" i="1"/>
  <c r="AW29" i="1"/>
  <c r="AS119" i="1"/>
  <c r="AS133" i="1"/>
  <c r="AS147" i="1"/>
  <c r="AW180" i="1"/>
  <c r="AW28" i="1"/>
  <c r="AS162" i="1"/>
  <c r="AW35" i="1"/>
  <c r="AW7" i="1"/>
  <c r="AS47" i="1"/>
  <c r="AW147" i="1"/>
  <c r="AW94" i="1"/>
  <c r="AS23" i="1"/>
  <c r="AS45" i="1"/>
  <c r="AW70" i="1"/>
  <c r="AS116" i="1"/>
  <c r="AS130" i="1"/>
  <c r="AW166" i="1"/>
  <c r="AW184" i="1"/>
  <c r="AS208" i="1"/>
  <c r="AW41" i="1"/>
  <c r="AW52" i="1"/>
  <c r="AS56" i="1"/>
  <c r="AS60" i="1"/>
  <c r="AS91" i="1"/>
  <c r="AW109" i="1"/>
  <c r="AS113" i="1"/>
  <c r="AS137" i="1"/>
  <c r="AW144" i="1"/>
  <c r="AS148" i="1"/>
  <c r="AW159" i="1"/>
  <c r="AW170" i="1"/>
  <c r="AW56" i="1"/>
  <c r="AW91" i="1"/>
  <c r="AW98" i="1"/>
  <c r="AW127" i="1"/>
  <c r="AW174" i="1"/>
  <c r="AW59" i="1"/>
  <c r="AW105" i="1"/>
  <c r="AW120" i="1"/>
  <c r="AS10" i="1"/>
  <c r="AW13" i="1"/>
  <c r="AS20" i="1"/>
  <c r="AW23" i="1"/>
  <c r="AS30" i="1"/>
  <c r="AS44" i="1"/>
  <c r="AS84" i="1"/>
  <c r="AS90" i="1"/>
  <c r="AW93" i="1"/>
  <c r="AW99" i="1"/>
  <c r="AS139" i="1"/>
  <c r="AS142" i="1"/>
  <c r="AS151" i="1"/>
  <c r="AS167" i="1"/>
  <c r="AW205" i="1"/>
  <c r="AS37" i="1"/>
  <c r="AS50" i="1"/>
  <c r="AS63" i="1"/>
  <c r="AS66" i="1"/>
  <c r="AS72" i="1"/>
  <c r="AS75" i="1"/>
  <c r="AW81" i="1"/>
  <c r="AW87" i="1"/>
  <c r="AW90" i="1"/>
  <c r="AW145" i="1"/>
  <c r="AS190" i="1"/>
  <c r="AS7" i="1"/>
  <c r="AW10" i="1"/>
  <c r="AS17" i="1"/>
  <c r="AW20" i="1"/>
  <c r="AS27" i="1"/>
  <c r="AW30" i="1"/>
  <c r="AS41" i="1"/>
  <c r="AW50" i="1"/>
  <c r="AS136" i="1"/>
  <c r="AW139" i="1"/>
  <c r="AW64" i="1"/>
  <c r="AS34" i="1"/>
  <c r="AW37" i="1"/>
  <c r="AW47" i="1"/>
  <c r="AW63" i="1"/>
  <c r="AW66" i="1"/>
  <c r="AS121" i="1"/>
  <c r="AS124" i="1"/>
  <c r="AW130" i="1"/>
  <c r="AS177" i="1"/>
  <c r="AW190" i="1"/>
  <c r="AS202" i="1"/>
  <c r="AS206" i="1"/>
  <c r="AW72" i="1"/>
  <c r="AW75" i="1"/>
  <c r="AW194" i="1"/>
  <c r="AW78" i="1"/>
  <c r="AW136" i="1"/>
  <c r="AW206" i="1"/>
  <c r="AW106" i="1"/>
  <c r="AS109" i="1"/>
  <c r="AS146" i="1"/>
  <c r="AS149" i="1"/>
  <c r="AW158" i="1"/>
  <c r="AS187" i="1"/>
  <c r="AW202" i="1"/>
  <c r="AS8" i="1"/>
  <c r="AW11" i="1"/>
  <c r="AS18" i="1"/>
  <c r="AW21" i="1"/>
  <c r="AW31" i="1"/>
  <c r="AW38" i="1"/>
  <c r="AW45" i="1"/>
  <c r="AS54" i="1"/>
  <c r="AW57" i="1"/>
  <c r="AW115" i="1"/>
  <c r="AW152" i="1"/>
  <c r="AS35" i="1"/>
  <c r="AS70" i="1"/>
  <c r="AW73" i="1"/>
  <c r="AW79" i="1"/>
  <c r="AW118" i="1"/>
  <c r="AW134" i="1"/>
  <c r="AW140" i="1"/>
  <c r="AW143" i="1"/>
  <c r="AS159" i="1"/>
  <c r="AW162" i="1"/>
  <c r="AW165" i="1"/>
  <c r="AS207" i="1"/>
  <c r="AS107" i="1"/>
  <c r="AS169" i="1"/>
  <c r="AS172" i="1"/>
  <c r="AS175" i="1"/>
  <c r="AS188" i="1"/>
  <c r="AW128" i="1"/>
  <c r="AW169" i="1"/>
  <c r="AW172" i="1"/>
  <c r="AW175" i="1"/>
  <c r="AS46" i="1"/>
  <c r="AS80" i="1"/>
  <c r="AW86" i="1"/>
  <c r="AS98" i="1"/>
  <c r="AS110" i="1"/>
  <c r="AW113" i="1"/>
  <c r="AS135" i="1"/>
  <c r="AW137" i="1"/>
  <c r="AS163" i="1"/>
  <c r="AS179" i="1"/>
  <c r="AS182" i="1"/>
  <c r="AS185" i="1"/>
  <c r="AS200" i="1"/>
  <c r="AS204" i="1"/>
  <c r="AS9" i="1"/>
  <c r="AW12" i="1"/>
  <c r="AS19" i="1"/>
  <c r="AW22" i="1"/>
  <c r="AS29" i="1"/>
  <c r="AW32" i="1"/>
  <c r="AS43" i="1"/>
  <c r="AW49" i="1"/>
  <c r="AS52" i="1"/>
  <c r="AS55" i="1"/>
  <c r="AS65" i="1"/>
  <c r="AS77" i="1"/>
  <c r="AS83" i="1"/>
  <c r="AW89" i="1"/>
  <c r="AW101" i="1"/>
  <c r="AS144" i="1"/>
  <c r="AW153" i="1"/>
  <c r="AW192" i="1"/>
  <c r="AW196" i="1"/>
  <c r="AS62" i="1"/>
  <c r="AS74" i="1"/>
  <c r="AW80" i="1"/>
  <c r="AS138" i="1"/>
  <c r="AW179" i="1"/>
  <c r="AW182" i="1"/>
  <c r="AW185" i="1"/>
  <c r="AW200" i="1"/>
  <c r="AW204" i="1"/>
  <c r="AW129" i="1"/>
  <c r="AW141" i="1"/>
  <c r="AW150" i="1"/>
  <c r="AS33" i="1"/>
  <c r="AW36" i="1"/>
  <c r="AW55" i="1"/>
  <c r="AS59" i="1"/>
  <c r="AW62" i="1"/>
  <c r="AW77" i="1"/>
  <c r="AS105" i="1"/>
  <c r="AS120" i="1"/>
  <c r="AW132" i="1"/>
  <c r="AS176" i="1"/>
  <c r="AS193" i="1"/>
  <c r="AS197" i="1"/>
  <c r="AW208" i="1"/>
  <c r="AW43" i="1"/>
  <c r="AW65" i="1"/>
  <c r="AW189" i="1"/>
  <c r="AS201" i="1"/>
  <c r="AS205" i="1"/>
  <c r="AW160" i="1"/>
  <c r="AP2" i="1"/>
  <c r="AW111" i="1"/>
  <c r="AW44" i="1"/>
  <c r="AW84" i="1"/>
  <c r="AW133" i="1"/>
  <c r="AW151" i="1"/>
  <c r="AW124" i="1"/>
  <c r="AW67" i="1"/>
  <c r="AW125" i="1"/>
  <c r="AW178" i="1"/>
  <c r="AW5" i="1"/>
  <c r="AW15" i="1"/>
  <c r="AW25" i="1"/>
  <c r="AW61" i="1"/>
  <c r="AW107" i="1"/>
  <c r="AW39" i="1"/>
  <c r="AW119" i="1"/>
  <c r="AW188" i="1"/>
  <c r="AW193" i="1"/>
  <c r="AW201" i="1"/>
  <c r="AW163" i="1"/>
  <c r="AW173" i="1"/>
  <c r="AW183" i="1"/>
  <c r="AW191" i="1"/>
  <c r="AW199" i="1"/>
  <c r="AW207" i="1"/>
  <c r="AW161" i="1"/>
  <c r="AW171" i="1"/>
  <c r="AW181" i="1"/>
  <c r="AW157" i="1"/>
  <c r="AW167" i="1"/>
  <c r="AW177" i="1"/>
  <c r="AW187" i="1"/>
  <c r="AW195" i="1"/>
  <c r="AW203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<sst xmlns="http://schemas.openxmlformats.org/spreadsheetml/2006/main" count="3544" uniqueCount="1272">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</sst>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G1" zoomScale="80" zoomScaleNormal="80" workbookViewId="0">
      <selection activeCell="AK1" sqref="AK1:AK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2" width="32.42578125" style="74" customWidth="1"/>
    <col min="13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>
        <v>27.2</v>
      </c>
      <c r="AK5" s="51">
        <v>27.2</v>
      </c>
      <c r="AL5" s="51"/>
      <c r="AM5" s="51"/>
      <c r="AN5" s="51"/>
      <c r="AO5" s="51"/>
      <c r="AP5" s="88">
        <f t="shared" ref="AP5:AP68" si="1">COUNTIF(K5:AO5,"&gt;0")</f>
        <v>27</v>
      </c>
      <c r="AQ5" s="89">
        <f t="shared" ref="AQ5:AQ68" si="2">IF(AP5&gt;14,AVERAGE(K5:AO5),"")</f>
        <v>26.551851851851854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0.2388569375208931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>
        <v>26.8</v>
      </c>
      <c r="AK6" s="51">
        <v>26.1</v>
      </c>
      <c r="AL6" s="51"/>
      <c r="AM6" s="51"/>
      <c r="AN6" s="51"/>
      <c r="AO6" s="51"/>
      <c r="AP6" s="88">
        <f t="shared" si="1"/>
        <v>27</v>
      </c>
      <c r="AQ6" s="89">
        <f t="shared" si="2"/>
        <v>26.688888888888886</v>
      </c>
      <c r="AR6" s="89">
        <f>IFERROR(VLOOKUP(A6,Climatologia!A:U,9+$E$2,FALSE),"")</f>
        <v>26.40894902444402</v>
      </c>
      <c r="AS6" s="89">
        <f t="shared" si="3"/>
        <v>0.27993986444486652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>
        <v>26.6</v>
      </c>
      <c r="AK7" s="51">
        <v>25.8</v>
      </c>
      <c r="AL7" s="51"/>
      <c r="AM7" s="51"/>
      <c r="AN7" s="51"/>
      <c r="AO7" s="51"/>
      <c r="AP7" s="88">
        <f t="shared" si="1"/>
        <v>27</v>
      </c>
      <c r="AQ7" s="89">
        <f t="shared" si="2"/>
        <v>27.162962962962961</v>
      </c>
      <c r="AR7" s="89">
        <f>IFERROR(VLOOKUP(A7,Climatologia!A:U,9+$E$2,FALSE),"")</f>
        <v>24.967211716722289</v>
      </c>
      <c r="AS7" s="89">
        <f t="shared" si="3"/>
        <v>2.1957512462406719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>
        <v>25.9</v>
      </c>
      <c r="AK8" s="51">
        <v>24.3</v>
      </c>
      <c r="AL8" s="51"/>
      <c r="AM8" s="51"/>
      <c r="AN8" s="51"/>
      <c r="AO8" s="51"/>
      <c r="AP8" s="88">
        <f t="shared" si="1"/>
        <v>27</v>
      </c>
      <c r="AQ8" s="89">
        <f t="shared" si="2"/>
        <v>26.05555555555555</v>
      </c>
      <c r="AR8" s="89">
        <f>IFERROR(VLOOKUP(A8,Climatologia!A:U,9+$E$2,FALSE),"")</f>
        <v>25.731714029697901</v>
      </c>
      <c r="AS8" s="89">
        <f t="shared" si="3"/>
        <v>0.3238415258576488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>
        <v>25.8</v>
      </c>
      <c r="AK9" s="51">
        <v>23.7</v>
      </c>
      <c r="AL9" s="51"/>
      <c r="AM9" s="51"/>
      <c r="AN9" s="51"/>
      <c r="AO9" s="51"/>
      <c r="AP9" s="88">
        <f t="shared" si="1"/>
        <v>27</v>
      </c>
      <c r="AQ9" s="89">
        <f t="shared" si="2"/>
        <v>25.922222222222224</v>
      </c>
      <c r="AR9" s="89">
        <f>IFERROR(VLOOKUP(A9,Climatologia!A:U,9+$E$2,FALSE),"")</f>
        <v>24.84616941928422</v>
      </c>
      <c r="AS9" s="89">
        <f t="shared" si="3"/>
        <v>1.0760528029380048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>
        <v>27.3</v>
      </c>
      <c r="AK10" s="51">
        <v>23.6</v>
      </c>
      <c r="AL10" s="51"/>
      <c r="AM10" s="51"/>
      <c r="AN10" s="51"/>
      <c r="AO10" s="51"/>
      <c r="AP10" s="88">
        <f t="shared" si="1"/>
        <v>27</v>
      </c>
      <c r="AQ10" s="89">
        <f t="shared" si="2"/>
        <v>27.470370370370365</v>
      </c>
      <c r="AR10" s="89">
        <f>IFERROR(VLOOKUP(A10,Climatologia!A:U,9+$E$2,FALSE),"")</f>
        <v>25.91025682931615</v>
      </c>
      <c r="AS10" s="89">
        <f t="shared" si="3"/>
        <v>1.5601135410542142</v>
      </c>
      <c r="AT10" s="90">
        <f t="shared" si="4"/>
        <v>23.6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3.4000000000000021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>
        <v>26.9</v>
      </c>
      <c r="AK11" s="51">
        <v>23.6</v>
      </c>
      <c r="AL11" s="51"/>
      <c r="AM11" s="51"/>
      <c r="AN11" s="51"/>
      <c r="AO11" s="51"/>
      <c r="AP11" s="88">
        <f t="shared" si="1"/>
        <v>27</v>
      </c>
      <c r="AQ11" s="89">
        <f t="shared" si="2"/>
        <v>26.662962962962958</v>
      </c>
      <c r="AR11" s="89">
        <f>IFERROR(VLOOKUP(A11,Climatologia!A:U,9+$E$2,FALSE),"")</f>
        <v>24.65002483348788</v>
      </c>
      <c r="AS11" s="89">
        <f t="shared" si="3"/>
        <v>2.0129381294750779</v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2.8000000000000007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>
        <v>23.3</v>
      </c>
      <c r="AK12" s="51">
        <v>23.1</v>
      </c>
      <c r="AL12" s="51"/>
      <c r="AM12" s="51"/>
      <c r="AN12" s="51"/>
      <c r="AO12" s="51"/>
      <c r="AP12" s="88">
        <f t="shared" si="1"/>
        <v>27</v>
      </c>
      <c r="AQ12" s="89">
        <f t="shared" si="2"/>
        <v>25.377777777777776</v>
      </c>
      <c r="AR12" s="89">
        <f>IFERROR(VLOOKUP(A12,Climatologia!A:U,9+$E$2,FALSE),"")</f>
        <v>23.380527878729861</v>
      </c>
      <c r="AS12" s="89">
        <f t="shared" si="3"/>
        <v>1.9972498990479153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>
        <v>23.8</v>
      </c>
      <c r="AK13" s="51">
        <v>24.8</v>
      </c>
      <c r="AL13" s="51"/>
      <c r="AM13" s="51"/>
      <c r="AN13" s="51"/>
      <c r="AO13" s="51"/>
      <c r="AP13" s="88">
        <f t="shared" si="1"/>
        <v>27</v>
      </c>
      <c r="AQ13" s="89">
        <f t="shared" si="2"/>
        <v>24.566666666666666</v>
      </c>
      <c r="AR13" s="89">
        <f>IFERROR(VLOOKUP(A13,Climatologia!A:U,9+$E$2,FALSE),"")</f>
        <v>23.41727263096562</v>
      </c>
      <c r="AS13" s="89">
        <f t="shared" si="3"/>
        <v>1.1493940357010466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>
        <v>19.8</v>
      </c>
      <c r="AK14" s="51">
        <v>19.7</v>
      </c>
      <c r="AL14" s="51"/>
      <c r="AM14" s="51"/>
      <c r="AN14" s="51"/>
      <c r="AO14" s="51"/>
      <c r="AP14" s="88">
        <f t="shared" si="1"/>
        <v>27</v>
      </c>
      <c r="AQ14" s="89">
        <f t="shared" si="2"/>
        <v>19.8037037037037</v>
      </c>
      <c r="AR14" s="89">
        <f>IFERROR(VLOOKUP(A14,Climatologia!A:U,9+$E$2,FALSE),"")</f>
        <v>18.607906136078171</v>
      </c>
      <c r="AS14" s="89">
        <f t="shared" si="3"/>
        <v>1.1957975676255295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>
        <v>26.4</v>
      </c>
      <c r="AK15" s="51">
        <v>23.5</v>
      </c>
      <c r="AL15" s="51"/>
      <c r="AM15" s="51"/>
      <c r="AN15" s="51"/>
      <c r="AO15" s="51"/>
      <c r="AP15" s="88">
        <f t="shared" si="1"/>
        <v>27</v>
      </c>
      <c r="AQ15" s="89">
        <f t="shared" si="2"/>
        <v>24.711111111111109</v>
      </c>
      <c r="AR15" s="89">
        <f>IFERROR(VLOOKUP(A15,Climatologia!A:U,9+$E$2,FALSE),"")</f>
        <v>23.779123470522801</v>
      </c>
      <c r="AS15" s="89">
        <f t="shared" si="3"/>
        <v>0.93198764058830719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>
        <v>23.8</v>
      </c>
      <c r="AK16" s="51">
        <v>24.3</v>
      </c>
      <c r="AL16" s="51"/>
      <c r="AM16" s="51"/>
      <c r="AN16" s="51"/>
      <c r="AO16" s="51"/>
      <c r="AP16" s="88">
        <f t="shared" si="1"/>
        <v>27</v>
      </c>
      <c r="AQ16" s="89">
        <f t="shared" si="2"/>
        <v>24.992592592592587</v>
      </c>
      <c r="AR16" s="89">
        <f>IFERROR(VLOOKUP(A16,Climatologia!A:U,9+$E$2,FALSE),"")</f>
        <v>23.317825682382139</v>
      </c>
      <c r="AS16" s="89">
        <f t="shared" si="3"/>
        <v>1.6747669102104474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>
        <v>18</v>
      </c>
      <c r="AK17" s="51">
        <v>19</v>
      </c>
      <c r="AL17" s="51"/>
      <c r="AM17" s="51"/>
      <c r="AN17" s="51"/>
      <c r="AO17" s="51"/>
      <c r="AP17" s="88">
        <f t="shared" si="1"/>
        <v>27</v>
      </c>
      <c r="AQ17" s="89">
        <f t="shared" si="2"/>
        <v>18.507407407407406</v>
      </c>
      <c r="AR17" s="89">
        <f>IFERROR(VLOOKUP(A17,Climatologia!A:U,9+$E$2,FALSE),"")</f>
        <v>17.48384501297738</v>
      </c>
      <c r="AS17" s="89">
        <f t="shared" si="3"/>
        <v>1.0235623944300265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>
        <v>13.2</v>
      </c>
      <c r="AK18" s="51">
        <v>13.4</v>
      </c>
      <c r="AL18" s="51"/>
      <c r="AM18" s="51"/>
      <c r="AN18" s="51"/>
      <c r="AO18" s="51"/>
      <c r="AP18" s="88">
        <f t="shared" si="1"/>
        <v>27</v>
      </c>
      <c r="AQ18" s="89">
        <f t="shared" si="2"/>
        <v>11.944444444444443</v>
      </c>
      <c r="AR18" s="89">
        <f>IFERROR(VLOOKUP(A18,Climatologia!A:U,9+$E$2,FALSE),"")</f>
        <v>12.078935483870969</v>
      </c>
      <c r="AS18" s="89">
        <f t="shared" si="3"/>
        <v>-0.13449103942652663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>
        <v>17.899999999999999</v>
      </c>
      <c r="AK19" s="51">
        <v>17.600000000000001</v>
      </c>
      <c r="AL19" s="51"/>
      <c r="AM19" s="51"/>
      <c r="AN19" s="51"/>
      <c r="AO19" s="51"/>
      <c r="AP19" s="88">
        <f t="shared" si="1"/>
        <v>27</v>
      </c>
      <c r="AQ19" s="89">
        <f t="shared" si="2"/>
        <v>18.94074074074074</v>
      </c>
      <c r="AR19" s="89">
        <f>IFERROR(VLOOKUP(A19,Climatologia!A:U,9+$E$2,FALSE),"")</f>
        <v>17.615136476426802</v>
      </c>
      <c r="AS19" s="89">
        <f t="shared" si="3"/>
        <v>1.3256042643139381</v>
      </c>
      <c r="AT19" s="90">
        <f t="shared" si="4"/>
        <v>17.600000000000001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4.2000000000000011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>
        <v>17.2</v>
      </c>
      <c r="AK20" s="51">
        <v>17.100000000000001</v>
      </c>
      <c r="AL20" s="51"/>
      <c r="AM20" s="51"/>
      <c r="AN20" s="51"/>
      <c r="AO20" s="51"/>
      <c r="AP20" s="88">
        <f t="shared" si="1"/>
        <v>27</v>
      </c>
      <c r="AQ20" s="89">
        <f t="shared" si="2"/>
        <v>17.777777777777779</v>
      </c>
      <c r="AR20" s="89">
        <f>IFERROR(VLOOKUP(A20,Climatologia!A:U,9+$E$2,FALSE),"")</f>
        <v>16.97514080901178</v>
      </c>
      <c r="AS20" s="89">
        <f t="shared" si="3"/>
        <v>0.80263696876599866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>
        <v>20.7</v>
      </c>
      <c r="AK21" s="51">
        <v>19</v>
      </c>
      <c r="AL21" s="51"/>
      <c r="AM21" s="51"/>
      <c r="AN21" s="51"/>
      <c r="AO21" s="51"/>
      <c r="AP21" s="88">
        <f t="shared" si="1"/>
        <v>27</v>
      </c>
      <c r="AQ21" s="89">
        <f t="shared" si="2"/>
        <v>20.503703703703703</v>
      </c>
      <c r="AR21" s="89">
        <f>IFERROR(VLOOKUP(A21,Climatologia!A:U,9+$E$2,FALSE),"")</f>
        <v>19.23867916144334</v>
      </c>
      <c r="AS21" s="89">
        <f t="shared" si="3"/>
        <v>1.2650245422603632</v>
      </c>
      <c r="AT21" s="90">
        <f t="shared" si="4"/>
        <v>19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>
        <v>9.4</v>
      </c>
      <c r="AK22" s="51">
        <v>9.8000000000000007</v>
      </c>
      <c r="AL22" s="51"/>
      <c r="AM22" s="51"/>
      <c r="AN22" s="51"/>
      <c r="AO22" s="51"/>
      <c r="AP22" s="88">
        <f t="shared" si="1"/>
        <v>27</v>
      </c>
      <c r="AQ22" s="89">
        <f t="shared" si="2"/>
        <v>9.7148148148148152</v>
      </c>
      <c r="AR22" s="89">
        <f>IFERROR(VLOOKUP(A22,Climatologia!A:U,9+$E$2,FALSE),"")</f>
        <v>8.5669829725335838</v>
      </c>
      <c r="AS22" s="89">
        <f t="shared" si="3"/>
        <v>1.1478318422812315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>
        <v>18.899999999999999</v>
      </c>
      <c r="AK23" s="51">
        <v>18.899999999999999</v>
      </c>
      <c r="AL23" s="51"/>
      <c r="AM23" s="51"/>
      <c r="AN23" s="51"/>
      <c r="AO23" s="51"/>
      <c r="AP23" s="88">
        <f t="shared" si="1"/>
        <v>27</v>
      </c>
      <c r="AQ23" s="89">
        <f t="shared" si="2"/>
        <v>19.31851851851852</v>
      </c>
      <c r="AR23" s="89">
        <f>IFERROR(VLOOKUP(A23,Climatologia!A:U,9+$E$2,FALSE),"")</f>
        <v>18.632546225180629</v>
      </c>
      <c r="AS23" s="89">
        <f t="shared" si="3"/>
        <v>0.68597229333789045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>
        <v>22.7</v>
      </c>
      <c r="AK24" s="51">
        <v>22.7</v>
      </c>
      <c r="AL24" s="51"/>
      <c r="AM24" s="51"/>
      <c r="AN24" s="51"/>
      <c r="AO24" s="51"/>
      <c r="AP24" s="88">
        <f t="shared" si="1"/>
        <v>27</v>
      </c>
      <c r="AQ24" s="89">
        <f t="shared" si="2"/>
        <v>23.666666666666671</v>
      </c>
      <c r="AR24" s="89">
        <f>IFERROR(VLOOKUP(A24,Climatologia!A:U,9+$E$2,FALSE),"")</f>
        <v>22.755698924731181</v>
      </c>
      <c r="AS24" s="89">
        <f t="shared" si="3"/>
        <v>0.91096774193549024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>
        <v>14.4</v>
      </c>
      <c r="AK25" s="51">
        <v>14.8</v>
      </c>
      <c r="AL25" s="51"/>
      <c r="AM25" s="51"/>
      <c r="AN25" s="51"/>
      <c r="AO25" s="51"/>
      <c r="AP25" s="88">
        <f t="shared" si="1"/>
        <v>27</v>
      </c>
      <c r="AQ25" s="89">
        <f t="shared" si="2"/>
        <v>14.785185185185183</v>
      </c>
      <c r="AR25" s="89">
        <f>IFERROR(VLOOKUP(A25,Climatologia!A:U,9+$E$2,FALSE),"")</f>
        <v>14.458778519342481</v>
      </c>
      <c r="AS25" s="89">
        <f t="shared" si="3"/>
        <v>0.32640666584270228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>
        <v>6.4</v>
      </c>
      <c r="AK26" s="51">
        <v>3.2</v>
      </c>
      <c r="AL26" s="51"/>
      <c r="AM26" s="51"/>
      <c r="AN26" s="51"/>
      <c r="AO26" s="51"/>
      <c r="AP26" s="88">
        <f t="shared" si="1"/>
        <v>27</v>
      </c>
      <c r="AQ26" s="89">
        <f t="shared" si="2"/>
        <v>6.8666666666666671</v>
      </c>
      <c r="AR26" s="89">
        <f>IFERROR(VLOOKUP(A26,Climatologia!A:U,9+$E$2,FALSE),"")</f>
        <v>5.5482835334279477</v>
      </c>
      <c r="AS26" s="89">
        <f t="shared" si="3"/>
        <v>1.3183831332387195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>
        <v>24</v>
      </c>
      <c r="AK27" s="51">
        <v>23.6</v>
      </c>
      <c r="AL27" s="51"/>
      <c r="AM27" s="51"/>
      <c r="AN27" s="51"/>
      <c r="AO27" s="51"/>
      <c r="AP27" s="88">
        <f t="shared" si="1"/>
        <v>27</v>
      </c>
      <c r="AQ27" s="89">
        <f t="shared" si="2"/>
        <v>24.418518518518521</v>
      </c>
      <c r="AR27" s="89">
        <f>IFERROR(VLOOKUP(A27,Climatologia!A:U,9+$E$2,FALSE),"")</f>
        <v>23.205806451612911</v>
      </c>
      <c r="AS27" s="89">
        <f t="shared" si="3"/>
        <v>1.2127120669056097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>
        <v>22.5</v>
      </c>
      <c r="AK28" s="51">
        <v>23</v>
      </c>
      <c r="AL28" s="51"/>
      <c r="AM28" s="51"/>
      <c r="AN28" s="51"/>
      <c r="AO28" s="51"/>
      <c r="AP28" s="88">
        <f t="shared" si="1"/>
        <v>27</v>
      </c>
      <c r="AQ28" s="89">
        <f t="shared" si="2"/>
        <v>23.437037037037037</v>
      </c>
      <c r="AR28" s="89">
        <f>IFERROR(VLOOKUP(A28,Climatologia!A:U,9+$E$2,FALSE),"")</f>
        <v>22.637933865990991</v>
      </c>
      <c r="AS28" s="89">
        <f t="shared" si="3"/>
        <v>0.79910317104604545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>
        <v>25.4</v>
      </c>
      <c r="AK29" s="51">
        <v>23.8</v>
      </c>
      <c r="AL29" s="51"/>
      <c r="AM29" s="51"/>
      <c r="AN29" s="51"/>
      <c r="AO29" s="51"/>
      <c r="AP29" s="88">
        <f t="shared" si="1"/>
        <v>27</v>
      </c>
      <c r="AQ29" s="89">
        <f t="shared" si="2"/>
        <v>24.462962962962958</v>
      </c>
      <c r="AR29" s="89">
        <f>IFERROR(VLOOKUP(A29,Climatologia!A:U,9+$E$2,FALSE),"")</f>
        <v>23.3590368608799</v>
      </c>
      <c r="AS29" s="89">
        <f t="shared" si="3"/>
        <v>1.103926102083058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>
        <v>22.2</v>
      </c>
      <c r="AK30" s="51">
        <v>22</v>
      </c>
      <c r="AL30" s="51"/>
      <c r="AM30" s="51"/>
      <c r="AN30" s="51"/>
      <c r="AO30" s="51"/>
      <c r="AP30" s="88">
        <f t="shared" si="1"/>
        <v>27</v>
      </c>
      <c r="AQ30" s="89">
        <f t="shared" si="2"/>
        <v>21.151851851851855</v>
      </c>
      <c r="AR30" s="89">
        <f>IFERROR(VLOOKUP(A30,Climatologia!A:U,9+$E$2,FALSE),"")</f>
        <v>20.397956989247309</v>
      </c>
      <c r="AS30" s="89">
        <f t="shared" si="3"/>
        <v>0.75389486260454674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>
        <v>23.6</v>
      </c>
      <c r="AK31" s="108">
        <v>23.1</v>
      </c>
      <c r="AL31" s="108"/>
      <c r="AM31" s="108"/>
      <c r="AN31" s="108"/>
      <c r="AO31" s="108"/>
      <c r="AP31" s="88">
        <f t="shared" si="1"/>
        <v>27</v>
      </c>
      <c r="AQ31" s="89">
        <f t="shared" si="2"/>
        <v>23.151851851851852</v>
      </c>
      <c r="AR31" s="89">
        <f>IFERROR(VLOOKUP(A31,Climatologia!A:U,9+$E$2,FALSE),"")</f>
        <v>21.59281959378734</v>
      </c>
      <c r="AS31" s="89">
        <f t="shared" si="3"/>
        <v>1.5590322580645122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>
        <v>14</v>
      </c>
      <c r="AK32" s="51">
        <v>14</v>
      </c>
      <c r="AL32" s="51"/>
      <c r="AM32" s="51"/>
      <c r="AN32" s="51"/>
      <c r="AO32" s="51"/>
      <c r="AP32" s="88">
        <f t="shared" si="1"/>
        <v>27</v>
      </c>
      <c r="AQ32" s="89">
        <f t="shared" si="2"/>
        <v>14.31111111111111</v>
      </c>
      <c r="AR32" s="89">
        <f>IFERROR(VLOOKUP(A32,Climatologia!A:U,9+$E$2,FALSE),"")</f>
        <v>13.441294802867381</v>
      </c>
      <c r="AS32" s="89">
        <f t="shared" si="3"/>
        <v>0.86981630824372935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>
        <v>15.4</v>
      </c>
      <c r="AK34" s="51">
        <v>15.4</v>
      </c>
      <c r="AL34" s="51"/>
      <c r="AM34" s="51"/>
      <c r="AN34" s="51"/>
      <c r="AO34" s="51"/>
      <c r="AP34" s="88">
        <f t="shared" si="1"/>
        <v>27</v>
      </c>
      <c r="AQ34" s="89">
        <f t="shared" si="2"/>
        <v>15.540740740740739</v>
      </c>
      <c r="AR34" s="89">
        <f>IFERROR(VLOOKUP(A34,Climatologia!A:U,9+$E$2,FALSE),"")</f>
        <v>14.773956247682611</v>
      </c>
      <c r="AS34" s="89">
        <f t="shared" si="3"/>
        <v>0.7667844930581289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>
        <v>14.6</v>
      </c>
      <c r="AK35" s="51">
        <v>15</v>
      </c>
      <c r="AL35" s="51"/>
      <c r="AM35" s="51"/>
      <c r="AN35" s="51"/>
      <c r="AO35" s="51"/>
      <c r="AP35" s="88">
        <f t="shared" si="1"/>
        <v>27</v>
      </c>
      <c r="AQ35" s="89">
        <f t="shared" si="2"/>
        <v>14.777777777777782</v>
      </c>
      <c r="AR35" s="89">
        <f>IFERROR(VLOOKUP(A35,Climatologia!A:U,9+$E$2,FALSE),"")</f>
        <v>13.253440860215051</v>
      </c>
      <c r="AS35" s="89">
        <f t="shared" si="3"/>
        <v>1.5243369175627315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>
        <v>19.2</v>
      </c>
      <c r="AK36" s="51">
        <v>20</v>
      </c>
      <c r="AL36" s="51"/>
      <c r="AM36" s="51"/>
      <c r="AN36" s="51"/>
      <c r="AO36" s="51"/>
      <c r="AP36" s="88">
        <f t="shared" si="1"/>
        <v>27</v>
      </c>
      <c r="AQ36" s="89">
        <f t="shared" si="2"/>
        <v>19.229629629629631</v>
      </c>
      <c r="AR36" s="89">
        <f>IFERROR(VLOOKUP(A36,Climatologia!A:U,9+$E$2,FALSE),"")</f>
        <v>19.581162337847541</v>
      </c>
      <c r="AS36" s="89">
        <f t="shared" si="3"/>
        <v>-0.35153270821790983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>
        <v>8.8000000000000007</v>
      </c>
      <c r="AK37" s="51">
        <v>8.6</v>
      </c>
      <c r="AL37" s="51"/>
      <c r="AM37" s="51"/>
      <c r="AN37" s="51"/>
      <c r="AO37" s="51"/>
      <c r="AP37" s="88">
        <f t="shared" si="1"/>
        <v>27</v>
      </c>
      <c r="AQ37" s="89">
        <f t="shared" si="2"/>
        <v>8.9629629629629619</v>
      </c>
      <c r="AR37" s="89">
        <f>IFERROR(VLOOKUP(A37,Climatologia!A:U,9+$E$2,FALSE),"")</f>
        <v>9.3349769585253455</v>
      </c>
      <c r="AS37" s="89">
        <f t="shared" si="3"/>
        <v>-0.37201399556238357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>
        <v>15.6</v>
      </c>
      <c r="AK38" s="51">
        <v>16</v>
      </c>
      <c r="AL38" s="51"/>
      <c r="AM38" s="51"/>
      <c r="AN38" s="51"/>
      <c r="AO38" s="51"/>
      <c r="AP38" s="88">
        <f t="shared" si="1"/>
        <v>27</v>
      </c>
      <c r="AQ38" s="89">
        <f t="shared" si="2"/>
        <v>16.903703703703702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1.5999999999999996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>
        <v>18</v>
      </c>
      <c r="AJ39" s="51">
        <v>18.399999999999999</v>
      </c>
      <c r="AK39" s="51">
        <v>17.2</v>
      </c>
      <c r="AL39" s="51"/>
      <c r="AM39" s="51"/>
      <c r="AN39" s="51"/>
      <c r="AO39" s="51"/>
      <c r="AP39" s="88">
        <f t="shared" si="1"/>
        <v>27</v>
      </c>
      <c r="AQ39" s="89">
        <f t="shared" si="2"/>
        <v>18.962962962962962</v>
      </c>
      <c r="AR39" s="89">
        <f>IFERROR(VLOOKUP(A39,Climatologia!A:U,9+$E$2,FALSE),"")</f>
        <v>17.20506668314588</v>
      </c>
      <c r="AS39" s="89">
        <f t="shared" si="3"/>
        <v>1.7578962798170821</v>
      </c>
      <c r="AT39" s="90">
        <f t="shared" si="4"/>
        <v>17.2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>
        <v>15.4</v>
      </c>
      <c r="AK40" s="51">
        <v>14.8</v>
      </c>
      <c r="AL40" s="51"/>
      <c r="AM40" s="51"/>
      <c r="AN40" s="51"/>
      <c r="AO40" s="51"/>
      <c r="AP40" s="88">
        <f t="shared" si="1"/>
        <v>27</v>
      </c>
      <c r="AQ40" s="89">
        <f t="shared" si="2"/>
        <v>14.529629629629628</v>
      </c>
      <c r="AR40" s="89">
        <f>IFERROR(VLOOKUP(A40,Climatologia!A:U,9+$E$2,FALSE),"")</f>
        <v>12.94546489563567</v>
      </c>
      <c r="AS40" s="89">
        <f t="shared" si="3"/>
        <v>1.5841647339939584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>
        <v>24.2</v>
      </c>
      <c r="AK41" s="51">
        <v>24</v>
      </c>
      <c r="AL41" s="51"/>
      <c r="AM41" s="51"/>
      <c r="AN41" s="51"/>
      <c r="AO41" s="51"/>
      <c r="AP41" s="88">
        <f t="shared" si="1"/>
        <v>27</v>
      </c>
      <c r="AQ41" s="89">
        <f t="shared" si="2"/>
        <v>24.800000000000004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>
        <v>24</v>
      </c>
      <c r="AK42" s="51">
        <v>24.2</v>
      </c>
      <c r="AL42" s="51"/>
      <c r="AM42" s="51"/>
      <c r="AN42" s="51"/>
      <c r="AO42" s="51"/>
      <c r="AP42" s="88">
        <f t="shared" si="1"/>
        <v>26</v>
      </c>
      <c r="AQ42" s="89">
        <f t="shared" si="2"/>
        <v>25.569230769230771</v>
      </c>
      <c r="AR42" s="89">
        <f>IFERROR(VLOOKUP(A42,Climatologia!A:U,9+$E$2,FALSE),"")</f>
        <v>24.432895496420521</v>
      </c>
      <c r="AS42" s="89">
        <f t="shared" si="3"/>
        <v>1.1363352728102498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>
        <v>22.3</v>
      </c>
      <c r="AK43" s="51">
        <v>22</v>
      </c>
      <c r="AL43" s="51"/>
      <c r="AM43" s="51"/>
      <c r="AN43" s="51"/>
      <c r="AO43" s="51"/>
      <c r="AP43" s="88">
        <f t="shared" si="1"/>
        <v>27</v>
      </c>
      <c r="AQ43" s="89">
        <f t="shared" si="2"/>
        <v>24.19259259259259</v>
      </c>
      <c r="AR43" s="89">
        <f>IFERROR(VLOOKUP(A43,Climatologia!A:U,9+$E$2,FALSE),"")</f>
        <v>23.70475716371773</v>
      </c>
      <c r="AS43" s="89">
        <f t="shared" si="3"/>
        <v>0.48783542887485964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>
        <v>23.4</v>
      </c>
      <c r="AK44" s="51">
        <v>23</v>
      </c>
      <c r="AL44" s="51"/>
      <c r="AM44" s="51"/>
      <c r="AN44" s="51"/>
      <c r="AO44" s="51"/>
      <c r="AP44" s="88">
        <f t="shared" si="1"/>
        <v>27</v>
      </c>
      <c r="AQ44" s="89">
        <f t="shared" si="2"/>
        <v>24.57037037037037</v>
      </c>
      <c r="AR44" s="89">
        <f>IFERROR(VLOOKUP(A44,Climatologia!A:U,9+$E$2,FALSE),"")</f>
        <v>23.278211411491501</v>
      </c>
      <c r="AS44" s="89">
        <f t="shared" si="3"/>
        <v>1.2921589588788684</v>
      </c>
      <c r="AT44" s="90">
        <f t="shared" si="4"/>
        <v>23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5.8000000000000007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>
        <v>24.8</v>
      </c>
      <c r="AK47" s="51">
        <v>23</v>
      </c>
      <c r="AL47" s="51"/>
      <c r="AM47" s="51"/>
      <c r="AN47" s="51"/>
      <c r="AO47" s="51"/>
      <c r="AP47" s="88">
        <f t="shared" si="1"/>
        <v>27</v>
      </c>
      <c r="AQ47" s="89">
        <f t="shared" si="2"/>
        <v>25.118518518518517</v>
      </c>
      <c r="AR47" s="89">
        <f>IFERROR(VLOOKUP(A47,Climatologia!A:U,9+$E$2,FALSE),"")</f>
        <v>23.077912101041139</v>
      </c>
      <c r="AS47" s="89">
        <f t="shared" si="3"/>
        <v>2.0406064174773775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>
        <v>24.4</v>
      </c>
      <c r="AK51" s="51">
        <v>22.6</v>
      </c>
      <c r="AL51" s="51"/>
      <c r="AM51" s="51"/>
      <c r="AN51" s="51"/>
      <c r="AO51" s="51"/>
      <c r="AP51" s="88">
        <f t="shared" si="1"/>
        <v>27</v>
      </c>
      <c r="AQ51" s="89">
        <f t="shared" si="2"/>
        <v>24.903703703703702</v>
      </c>
      <c r="AR51" s="89">
        <f>IFERROR(VLOOKUP(A51,Climatologia!A:U,9+$E$2,FALSE),"")</f>
        <v>23.209114934289129</v>
      </c>
      <c r="AS51" s="89">
        <f t="shared" si="3"/>
        <v>1.6945887694145725</v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4.8000000000000007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>
        <v>24</v>
      </c>
      <c r="AK52" s="51">
        <v>23.2</v>
      </c>
      <c r="AL52" s="51"/>
      <c r="AM52" s="51"/>
      <c r="AN52" s="51"/>
      <c r="AO52" s="51"/>
      <c r="AP52" s="88">
        <f t="shared" si="1"/>
        <v>27</v>
      </c>
      <c r="AQ52" s="89">
        <f t="shared" si="2"/>
        <v>24.925925925925931</v>
      </c>
      <c r="AR52" s="89">
        <f>IFERROR(VLOOKUP(A52,Climatologia!A:U,9+$E$2,FALSE),"")</f>
        <v>22.730537765699061</v>
      </c>
      <c r="AS52" s="89">
        <f t="shared" si="3"/>
        <v>2.1953881602268694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>
        <v>25</v>
      </c>
      <c r="AK53" s="51">
        <v>22.8</v>
      </c>
      <c r="AL53" s="51"/>
      <c r="AM53" s="51"/>
      <c r="AN53" s="51"/>
      <c r="AO53" s="51"/>
      <c r="AP53" s="88">
        <f t="shared" si="1"/>
        <v>22</v>
      </c>
      <c r="AQ53" s="89">
        <f t="shared" si="2"/>
        <v>25.054545454545448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22.8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3.4000000000000021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>
        <v>21.6</v>
      </c>
      <c r="AK54" s="51">
        <v>21</v>
      </c>
      <c r="AL54" s="51"/>
      <c r="AM54" s="51"/>
      <c r="AN54" s="51"/>
      <c r="AO54" s="51"/>
      <c r="AP54" s="88">
        <f t="shared" si="1"/>
        <v>27</v>
      </c>
      <c r="AQ54" s="89">
        <f t="shared" si="2"/>
        <v>22.87037037037037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>
        <v>24.6</v>
      </c>
      <c r="AK57" s="51">
        <v>24</v>
      </c>
      <c r="AL57" s="51"/>
      <c r="AM57" s="51"/>
      <c r="AN57" s="51"/>
      <c r="AO57" s="51"/>
      <c r="AP57" s="88">
        <f t="shared" si="1"/>
        <v>27</v>
      </c>
      <c r="AQ57" s="89">
        <f t="shared" si="2"/>
        <v>24.844444444444449</v>
      </c>
      <c r="AR57" s="89">
        <f>IFERROR(VLOOKUP(A57,Climatologia!A:U,9+$E$2,FALSE),"")</f>
        <v>23.929337221065921</v>
      </c>
      <c r="AS57" s="89">
        <f t="shared" si="3"/>
        <v>0.91510722337852712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>
        <v>21.6</v>
      </c>
      <c r="AJ58" s="51">
        <v>21.4</v>
      </c>
      <c r="AK58" s="51">
        <v>23.2</v>
      </c>
      <c r="AL58" s="51"/>
      <c r="AM58" s="51"/>
      <c r="AN58" s="51"/>
      <c r="AO58" s="51"/>
      <c r="AP58" s="88">
        <f t="shared" si="1"/>
        <v>27</v>
      </c>
      <c r="AQ58" s="89">
        <f t="shared" si="2"/>
        <v>22.63703703703704</v>
      </c>
      <c r="AR58" s="89">
        <f>IFERROR(VLOOKUP(A58,Climatologia!A:U,9+$E$2,FALSE),"")</f>
        <v>21.121835024190759</v>
      </c>
      <c r="AS58" s="89">
        <f t="shared" si="3"/>
        <v>1.5152020128462809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>
        <v>22.9</v>
      </c>
      <c r="AK60" s="51">
        <v>21.4</v>
      </c>
      <c r="AL60" s="51"/>
      <c r="AM60" s="51"/>
      <c r="AN60" s="51"/>
      <c r="AO60" s="51"/>
      <c r="AP60" s="88">
        <f t="shared" si="1"/>
        <v>27</v>
      </c>
      <c r="AQ60" s="89">
        <f t="shared" si="2"/>
        <v>22.307407407407407</v>
      </c>
      <c r="AR60" s="89">
        <f>IFERROR(VLOOKUP(A60,Climatologia!A:U,9+$E$2,FALSE),"")</f>
        <v>21.335368281215381</v>
      </c>
      <c r="AS60" s="89">
        <f t="shared" si="3"/>
        <v>0.97203912619202626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>
        <v>21.8</v>
      </c>
      <c r="AK63" s="51">
        <v>21.8</v>
      </c>
      <c r="AL63" s="51"/>
      <c r="AM63" s="51"/>
      <c r="AN63" s="51"/>
      <c r="AO63" s="51"/>
      <c r="AP63" s="88">
        <f t="shared" si="1"/>
        <v>19</v>
      </c>
      <c r="AQ63" s="89">
        <f t="shared" si="2"/>
        <v>22.389473684210529</v>
      </c>
      <c r="AR63" s="89">
        <f>IFERROR(VLOOKUP(A63,Climatologia!A:U,9+$E$2,FALSE),"")</f>
        <v>22.124788357434191</v>
      </c>
      <c r="AS63" s="89">
        <f t="shared" si="3"/>
        <v>0.2646853267763376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>
        <v>22.8</v>
      </c>
      <c r="AK64" s="51">
        <v>23</v>
      </c>
      <c r="AL64" s="51"/>
      <c r="AM64" s="51"/>
      <c r="AN64" s="51"/>
      <c r="AO64" s="51"/>
      <c r="AP64" s="88">
        <f t="shared" si="1"/>
        <v>27</v>
      </c>
      <c r="AQ64" s="89">
        <f t="shared" si="2"/>
        <v>22.61481481481481</v>
      </c>
      <c r="AR64" s="89">
        <f>IFERROR(VLOOKUP(A64,Climatologia!A:U,9+$E$2,FALSE),"")</f>
        <v>21.690749245193071</v>
      </c>
      <c r="AS64" s="89">
        <f t="shared" si="3"/>
        <v>0.9240655696217388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>
        <v>21.2</v>
      </c>
      <c r="AK65" s="51">
        <v>22.2</v>
      </c>
      <c r="AL65" s="51"/>
      <c r="AM65" s="51"/>
      <c r="AN65" s="51"/>
      <c r="AO65" s="51"/>
      <c r="AP65" s="88">
        <f t="shared" si="1"/>
        <v>27</v>
      </c>
      <c r="AQ65" s="89">
        <f t="shared" si="2"/>
        <v>22.162962962962965</v>
      </c>
      <c r="AR65" s="89">
        <f>IFERROR(VLOOKUP(A65,Climatologia!A:U,9+$E$2,FALSE),"")</f>
        <v>21.403540366427119</v>
      </c>
      <c r="AS65" s="89">
        <f t="shared" si="3"/>
        <v>0.75942259653584543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>
        <v>21</v>
      </c>
      <c r="AK67" s="51">
        <v>19</v>
      </c>
      <c r="AL67" s="51"/>
      <c r="AM67" s="51"/>
      <c r="AN67" s="51"/>
      <c r="AO67" s="51"/>
      <c r="AP67" s="88">
        <f t="shared" si="1"/>
        <v>27</v>
      </c>
      <c r="AQ67" s="89">
        <f t="shared" si="2"/>
        <v>20.099999999999998</v>
      </c>
      <c r="AR67" s="89">
        <f>IFERROR(VLOOKUP(A67,Climatologia!A:U,9+$E$2,FALSE),"")</f>
        <v>21.093190044711658</v>
      </c>
      <c r="AS67" s="89">
        <f t="shared" si="3"/>
        <v>-0.99319004471166039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>
        <v>21.4</v>
      </c>
      <c r="AK68" s="51">
        <v>21.6</v>
      </c>
      <c r="AL68" s="51"/>
      <c r="AM68" s="51"/>
      <c r="AN68" s="51"/>
      <c r="AO68" s="51"/>
      <c r="AP68" s="88">
        <f t="shared" si="1"/>
        <v>27</v>
      </c>
      <c r="AQ68" s="89">
        <f t="shared" si="2"/>
        <v>20.93703703703704</v>
      </c>
      <c r="AR68" s="89">
        <f>IFERROR(VLOOKUP(A68,Climatologia!A:U,9+$E$2,FALSE),"")</f>
        <v>20.820880569459899</v>
      </c>
      <c r="AS68" s="89">
        <f t="shared" si="3"/>
        <v>0.1161564675771416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>
        <v>23.6</v>
      </c>
      <c r="AK69" s="51">
        <v>22.4</v>
      </c>
      <c r="AL69" s="51"/>
      <c r="AM69" s="51"/>
      <c r="AN69" s="51"/>
      <c r="AO69" s="51"/>
      <c r="AP69" s="88">
        <f t="shared" ref="AP69:AP132" si="6">COUNTIF(K69:AO69,"&gt;0")</f>
        <v>23</v>
      </c>
      <c r="AQ69" s="89">
        <f t="shared" ref="AQ69:AQ132" si="7">IF(AP69&gt;14,AVERAGE(K69:AO69),"")</f>
        <v>22.530434782608697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1.7511068075618681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>
        <v>22.4</v>
      </c>
      <c r="AK70" s="51">
        <v>23.1</v>
      </c>
      <c r="AL70" s="51"/>
      <c r="AM70" s="51"/>
      <c r="AN70" s="51"/>
      <c r="AO70" s="51"/>
      <c r="AP70" s="88">
        <f t="shared" si="6"/>
        <v>27</v>
      </c>
      <c r="AQ70" s="89">
        <f t="shared" si="7"/>
        <v>22.907407407407408</v>
      </c>
      <c r="AR70" s="89">
        <f>IFERROR(VLOOKUP(A70,Climatologia!A:U,9+$E$2,FALSE),"")</f>
        <v>22.364932118308101</v>
      </c>
      <c r="AS70" s="89">
        <f t="shared" si="8"/>
        <v>0.54247528909930764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>
        <v>23</v>
      </c>
      <c r="AK71" s="51">
        <v>22.4</v>
      </c>
      <c r="AL71" s="51"/>
      <c r="AM71" s="51"/>
      <c r="AN71" s="51"/>
      <c r="AO71" s="51"/>
      <c r="AP71" s="88">
        <f t="shared" si="6"/>
        <v>27</v>
      </c>
      <c r="AQ71" s="89">
        <f t="shared" si="7"/>
        <v>22.855555555555561</v>
      </c>
      <c r="AR71" s="89">
        <f>IFERROR(VLOOKUP(A71,Climatologia!A:U,9+$E$2,FALSE),"")</f>
        <v>21.655481553578049</v>
      </c>
      <c r="AS71" s="89">
        <f t="shared" si="8"/>
        <v>1.2000740019775122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/>
      <c r="AL72" s="51"/>
      <c r="AM72" s="51"/>
      <c r="AN72" s="51"/>
      <c r="AO72" s="51"/>
      <c r="AP72" s="88">
        <f t="shared" si="6"/>
        <v>22</v>
      </c>
      <c r="AQ72" s="89">
        <f t="shared" si="7"/>
        <v>21.34090909090909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>
        <v>18.399999999999999</v>
      </c>
      <c r="AK73" s="51">
        <v>18.2</v>
      </c>
      <c r="AL73" s="51"/>
      <c r="AM73" s="51"/>
      <c r="AN73" s="51"/>
      <c r="AO73" s="51"/>
      <c r="AP73" s="88">
        <f t="shared" si="6"/>
        <v>26</v>
      </c>
      <c r="AQ73" s="89">
        <f t="shared" si="7"/>
        <v>17.338461538461534</v>
      </c>
      <c r="AR73" s="89">
        <f>IFERROR(VLOOKUP(A73,Climatologia!A:U,9+$E$2,FALSE),"")</f>
        <v>16.31980835849356</v>
      </c>
      <c r="AS73" s="89">
        <f t="shared" si="8"/>
        <v>1.0186531799679734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>
        <v>10</v>
      </c>
      <c r="AK74" s="51">
        <v>12.2</v>
      </c>
      <c r="AL74" s="51"/>
      <c r="AM74" s="51"/>
      <c r="AN74" s="51"/>
      <c r="AO74" s="51"/>
      <c r="AP74" s="88">
        <f t="shared" si="6"/>
        <v>27</v>
      </c>
      <c r="AQ74" s="89">
        <f t="shared" si="7"/>
        <v>12.237037037037039</v>
      </c>
      <c r="AR74" s="89">
        <f>IFERROR(VLOOKUP(A74,Climatologia!A:U,9+$E$2,FALSE),"")</f>
        <v>11.80563736724846</v>
      </c>
      <c r="AS74" s="89">
        <f t="shared" si="8"/>
        <v>0.43139966978857913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>
        <v>15</v>
      </c>
      <c r="AK75" s="51">
        <v>14.6</v>
      </c>
      <c r="AL75" s="51"/>
      <c r="AM75" s="51"/>
      <c r="AN75" s="51"/>
      <c r="AO75" s="51"/>
      <c r="AP75" s="88">
        <f t="shared" si="6"/>
        <v>27</v>
      </c>
      <c r="AQ75" s="89">
        <f t="shared" si="7"/>
        <v>16.18148148148148</v>
      </c>
      <c r="AR75" s="89">
        <f>IFERROR(VLOOKUP(A75,Climatologia!A:U,9+$E$2,FALSE),"")</f>
        <v>15.64745715221115</v>
      </c>
      <c r="AS75" s="89">
        <f t="shared" si="8"/>
        <v>0.53402432927033061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>
        <v>16</v>
      </c>
      <c r="AK76" s="51">
        <v>17.2</v>
      </c>
      <c r="AL76" s="51"/>
      <c r="AM76" s="51"/>
      <c r="AN76" s="51"/>
      <c r="AO76" s="51"/>
      <c r="AP76" s="88">
        <f t="shared" si="6"/>
        <v>27</v>
      </c>
      <c r="AQ76" s="89">
        <f t="shared" si="7"/>
        <v>16.792592592592591</v>
      </c>
      <c r="AR76" s="89">
        <f>IFERROR(VLOOKUP(A76,Climatologia!A:U,9+$E$2,FALSE),"")</f>
        <v>18.21514905534578</v>
      </c>
      <c r="AS76" s="89">
        <f t="shared" si="8"/>
        <v>-1.4225564627531888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>
        <v>27</v>
      </c>
      <c r="AK77" s="51">
        <v>25</v>
      </c>
      <c r="AL77" s="51"/>
      <c r="AM77" s="51"/>
      <c r="AN77" s="51"/>
      <c r="AO77" s="51"/>
      <c r="AP77" s="88">
        <f t="shared" si="6"/>
        <v>27</v>
      </c>
      <c r="AQ77" s="89">
        <f t="shared" si="7"/>
        <v>25.540740740740741</v>
      </c>
      <c r="AR77" s="89">
        <f>IFERROR(VLOOKUP(A77,Climatologia!A:U,9+$E$2,FALSE),"")</f>
        <v>23.98594554377442</v>
      </c>
      <c r="AS77" s="89">
        <f t="shared" si="8"/>
        <v>1.554795196966321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>
        <v>24.4</v>
      </c>
      <c r="AK78" s="51">
        <v>24</v>
      </c>
      <c r="AL78" s="51"/>
      <c r="AM78" s="51"/>
      <c r="AN78" s="51"/>
      <c r="AO78" s="51"/>
      <c r="AP78" s="88">
        <f t="shared" si="6"/>
        <v>26</v>
      </c>
      <c r="AQ78" s="89">
        <f t="shared" si="7"/>
        <v>24.369230769230771</v>
      </c>
      <c r="AR78" s="89">
        <f>IFERROR(VLOOKUP(A78,Climatologia!A:U,9+$E$2,FALSE),"")</f>
        <v>23.030800614819611</v>
      </c>
      <c r="AS78" s="89">
        <f t="shared" si="8"/>
        <v>1.3384301544111601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>
        <v>14.4</v>
      </c>
      <c r="AG79" s="51">
        <v>15.4</v>
      </c>
      <c r="AH79" s="51">
        <v>14.6</v>
      </c>
      <c r="AI79" s="51">
        <v>12.8</v>
      </c>
      <c r="AJ79" s="51">
        <v>14.6</v>
      </c>
      <c r="AK79" s="51"/>
      <c r="AL79" s="51"/>
      <c r="AM79" s="51"/>
      <c r="AN79" s="51"/>
      <c r="AO79" s="51"/>
      <c r="AP79" s="88">
        <f t="shared" si="6"/>
        <v>26</v>
      </c>
      <c r="AQ79" s="89">
        <f t="shared" si="7"/>
        <v>14.86153846153846</v>
      </c>
      <c r="AR79" s="89">
        <f>IFERROR(VLOOKUP(A79,Climatologia!A:U,9+$E$2,FALSE),"")</f>
        <v>15.20904351496088</v>
      </c>
      <c r="AS79" s="89">
        <f t="shared" si="8"/>
        <v>-0.34750505342242022</v>
      </c>
      <c r="AT79" s="90">
        <f t="shared" si="9"/>
        <v>12.8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>
        <v>23.4</v>
      </c>
      <c r="AK81" s="51">
        <v>23.8</v>
      </c>
      <c r="AL81" s="51"/>
      <c r="AM81" s="51"/>
      <c r="AN81" s="51"/>
      <c r="AO81" s="51"/>
      <c r="AP81" s="88">
        <f t="shared" si="6"/>
        <v>25</v>
      </c>
      <c r="AQ81" s="89">
        <f t="shared" si="7"/>
        <v>22.927999999999997</v>
      </c>
      <c r="AR81" s="89">
        <f>IFERROR(VLOOKUP(A81,Climatologia!A:U,9+$E$2,FALSE),"")</f>
        <v>21.607376978198339</v>
      </c>
      <c r="AS81" s="89">
        <f t="shared" si="8"/>
        <v>1.3206230218016586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>
        <v>27.4</v>
      </c>
      <c r="AK83" s="51">
        <v>24</v>
      </c>
      <c r="AL83" s="51"/>
      <c r="AM83" s="51"/>
      <c r="AN83" s="51"/>
      <c r="AO83" s="51"/>
      <c r="AP83" s="88">
        <f t="shared" si="6"/>
        <v>22</v>
      </c>
      <c r="AQ83" s="89">
        <f t="shared" si="7"/>
        <v>26.581818181818175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6.3999999999999986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>
        <v>25.8</v>
      </c>
      <c r="AK84" s="51">
        <v>24.8</v>
      </c>
      <c r="AL84" s="51"/>
      <c r="AM84" s="51"/>
      <c r="AN84" s="51"/>
      <c r="AO84" s="51"/>
      <c r="AP84" s="88">
        <f t="shared" si="6"/>
        <v>27</v>
      </c>
      <c r="AQ84" s="89">
        <f t="shared" si="7"/>
        <v>26.162962962962958</v>
      </c>
      <c r="AR84" s="89">
        <f>IFERROR(VLOOKUP(A84,Climatologia!A:U,9+$E$2,FALSE),"")</f>
        <v>23.66046866958937</v>
      </c>
      <c r="AS84" s="89">
        <f t="shared" si="8"/>
        <v>2.5024942933735872</v>
      </c>
      <c r="AT84" s="90">
        <f t="shared" si="9"/>
        <v>24.8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9.6000000000000014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>
        <v>23.4</v>
      </c>
      <c r="AK85" s="51">
        <v>24.2</v>
      </c>
      <c r="AL85" s="51"/>
      <c r="AM85" s="51"/>
      <c r="AN85" s="51"/>
      <c r="AO85" s="51"/>
      <c r="AP85" s="88">
        <f t="shared" si="6"/>
        <v>27</v>
      </c>
      <c r="AQ85" s="89">
        <f t="shared" si="7"/>
        <v>25.081481481481486</v>
      </c>
      <c r="AR85" s="89">
        <f>IFERROR(VLOOKUP(A85,Climatologia!A:U,9+$E$2,FALSE),"")</f>
        <v>23.305497603590929</v>
      </c>
      <c r="AS85" s="89">
        <f t="shared" si="8"/>
        <v>1.7759838778905568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4.5999999999999979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>
        <v>22</v>
      </c>
      <c r="AK86" s="51">
        <v>19.8</v>
      </c>
      <c r="AL86" s="51"/>
      <c r="AM86" s="51"/>
      <c r="AN86" s="51"/>
      <c r="AO86" s="51"/>
      <c r="AP86" s="88">
        <f t="shared" si="6"/>
        <v>27</v>
      </c>
      <c r="AQ86" s="89">
        <f t="shared" si="7"/>
        <v>21.385185185185183</v>
      </c>
      <c r="AR86" s="89">
        <f>IFERROR(VLOOKUP(A86,Climatologia!A:U,9+$E$2,FALSE),"")</f>
        <v>22.830460829493081</v>
      </c>
      <c r="AS86" s="89">
        <f t="shared" si="8"/>
        <v>-1.4452756443078982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>
        <v>27.6</v>
      </c>
      <c r="AK87" s="51">
        <v>24.6</v>
      </c>
      <c r="AL87" s="51"/>
      <c r="AM87" s="51"/>
      <c r="AN87" s="51"/>
      <c r="AO87" s="51"/>
      <c r="AP87" s="88">
        <f t="shared" si="6"/>
        <v>25</v>
      </c>
      <c r="AQ87" s="89">
        <f t="shared" si="7"/>
        <v>26.624000000000006</v>
      </c>
      <c r="AR87" s="89">
        <f>IFERROR(VLOOKUP(A87,Climatologia!A:U,9+$E$2,FALSE),"")</f>
        <v>23.82157476757439</v>
      </c>
      <c r="AS87" s="89">
        <f t="shared" si="8"/>
        <v>2.802425232425616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>
        <v>27.2</v>
      </c>
      <c r="AK88" s="51">
        <v>24.8</v>
      </c>
      <c r="AL88" s="51"/>
      <c r="AM88" s="51"/>
      <c r="AN88" s="51"/>
      <c r="AO88" s="51"/>
      <c r="AP88" s="88">
        <f t="shared" si="6"/>
        <v>24</v>
      </c>
      <c r="AQ88" s="89">
        <f t="shared" si="7"/>
        <v>26.983333333333338</v>
      </c>
      <c r="AR88" s="89">
        <f>IFERROR(VLOOKUP(A88,Climatologia!A:U,9+$E$2,FALSE),"")</f>
        <v>23.447051220933311</v>
      </c>
      <c r="AS88" s="89">
        <f t="shared" si="8"/>
        <v>3.536282112400027</v>
      </c>
      <c r="AT88" s="90">
        <f t="shared" si="9"/>
        <v>24.4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8.3999999999999986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/>
      <c r="AM89" s="116"/>
      <c r="AN89" s="116"/>
      <c r="AO89" s="116"/>
      <c r="AP89" s="88">
        <f t="shared" si="6"/>
        <v>22</v>
      </c>
      <c r="AQ89" s="89">
        <f t="shared" si="7"/>
        <v>25.618181818181814</v>
      </c>
      <c r="AR89" s="89">
        <f>IFERROR(VLOOKUP(A89,Climatologia!A:U,9+$E$2,FALSE),"")</f>
        <v>22.923826107655049</v>
      </c>
      <c r="AS89" s="89">
        <f t="shared" si="8"/>
        <v>2.6943557105267644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>
        <v>11.2</v>
      </c>
      <c r="AK90" s="51">
        <v>11.2</v>
      </c>
      <c r="AL90" s="51"/>
      <c r="AM90" s="51"/>
      <c r="AN90" s="51"/>
      <c r="AO90" s="51"/>
      <c r="AP90" s="88">
        <f t="shared" si="6"/>
        <v>26</v>
      </c>
      <c r="AQ90" s="89">
        <f t="shared" si="7"/>
        <v>12.292307692307693</v>
      </c>
      <c r="AR90" s="89">
        <f>IFERROR(VLOOKUP(A90,Climatologia!A:U,9+$E$2,FALSE),"")</f>
        <v>11.21</v>
      </c>
      <c r="AS90" s="89">
        <f t="shared" si="8"/>
        <v>1.0823076923076922</v>
      </c>
      <c r="AT90" s="90">
        <f t="shared" si="9"/>
        <v>9.1999999999999993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4.7999999999999989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>
        <v>17.399999999999999</v>
      </c>
      <c r="AK91" s="51">
        <v>18</v>
      </c>
      <c r="AL91" s="51"/>
      <c r="AM91" s="51"/>
      <c r="AN91" s="51"/>
      <c r="AO91" s="51"/>
      <c r="AP91" s="88">
        <f t="shared" si="6"/>
        <v>27</v>
      </c>
      <c r="AQ91" s="89">
        <f t="shared" si="7"/>
        <v>17.866666666666664</v>
      </c>
      <c r="AR91" s="89">
        <f>IFERROR(VLOOKUP(A91,Climatologia!A:U,9+$E$2,FALSE),"")</f>
        <v>17.613159782779519</v>
      </c>
      <c r="AS91" s="89">
        <f t="shared" si="8"/>
        <v>0.2535068838871446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>
        <v>11.6</v>
      </c>
      <c r="AJ92" s="51">
        <v>8.8000000000000007</v>
      </c>
      <c r="AK92" s="51">
        <v>9</v>
      </c>
      <c r="AL92" s="51"/>
      <c r="AM92" s="51"/>
      <c r="AN92" s="51"/>
      <c r="AO92" s="51"/>
      <c r="AP92" s="88">
        <f t="shared" si="6"/>
        <v>27</v>
      </c>
      <c r="AQ92" s="89">
        <f t="shared" si="7"/>
        <v>10.740740740740742</v>
      </c>
      <c r="AR92" s="89">
        <f>IFERROR(VLOOKUP(A92,Climatologia!A:U,9+$E$2,FALSE),"")</f>
        <v>11.47881802826185</v>
      </c>
      <c r="AS92" s="89">
        <f t="shared" si="8"/>
        <v>-0.73807728752110791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>
        <v>11.2</v>
      </c>
      <c r="AK93" s="51">
        <v>10.4</v>
      </c>
      <c r="AL93" s="51"/>
      <c r="AM93" s="51"/>
      <c r="AN93" s="51"/>
      <c r="AO93" s="51"/>
      <c r="AP93" s="88">
        <f t="shared" si="6"/>
        <v>27</v>
      </c>
      <c r="AQ93" s="89">
        <f t="shared" si="7"/>
        <v>10.177777777777775</v>
      </c>
      <c r="AR93" s="89">
        <f>IFERROR(VLOOKUP(A93,Climatologia!A:U,9+$E$2,FALSE),"")</f>
        <v>8.9015099398191726</v>
      </c>
      <c r="AS93" s="89">
        <f t="shared" si="8"/>
        <v>1.2762678379586028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>
        <v>9</v>
      </c>
      <c r="AK96" s="51">
        <v>7.8</v>
      </c>
      <c r="AL96" s="51"/>
      <c r="AM96" s="51"/>
      <c r="AN96" s="51"/>
      <c r="AO96" s="51"/>
      <c r="AP96" s="88">
        <f t="shared" si="6"/>
        <v>27</v>
      </c>
      <c r="AQ96" s="89">
        <f t="shared" si="7"/>
        <v>7.7703703703703706</v>
      </c>
      <c r="AR96" s="89">
        <f>IFERROR(VLOOKUP(A96,Climatologia!A:U,9+$E$2,FALSE),"")</f>
        <v>7.2926861266282854</v>
      </c>
      <c r="AS96" s="89">
        <f t="shared" si="8"/>
        <v>0.47768424374208518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>
        <v>7</v>
      </c>
      <c r="AK97" s="51">
        <v>6.8</v>
      </c>
      <c r="AL97" s="51"/>
      <c r="AM97" s="51"/>
      <c r="AN97" s="51"/>
      <c r="AO97" s="51"/>
      <c r="AP97" s="88">
        <f t="shared" si="6"/>
        <v>26</v>
      </c>
      <c r="AQ97" s="89">
        <f t="shared" si="7"/>
        <v>8.2846153846153854</v>
      </c>
      <c r="AR97" s="89">
        <f>IFERROR(VLOOKUP(A97,Climatologia!A:U,9+$E$2,FALSE),"")</f>
        <v>8.3150202936469455</v>
      </c>
      <c r="AS97" s="89">
        <f t="shared" si="8"/>
        <v>-3.0404909031560123E-2</v>
      </c>
      <c r="AT97" s="90">
        <f t="shared" si="9"/>
        <v>6.3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2.6999999999999997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>
        <v>6.8</v>
      </c>
      <c r="AL98" s="51"/>
      <c r="AM98" s="51"/>
      <c r="AN98" s="51"/>
      <c r="AO98" s="51"/>
      <c r="AP98" s="88">
        <f t="shared" si="6"/>
        <v>21</v>
      </c>
      <c r="AQ98" s="89">
        <f t="shared" si="7"/>
        <v>7.8952380952380956</v>
      </c>
      <c r="AR98" s="89">
        <f>IFERROR(VLOOKUP(A98,Climatologia!A:U,9+$E$2,FALSE),"")</f>
        <v>6.6085478664622164</v>
      </c>
      <c r="AS98" s="89">
        <f t="shared" si="8"/>
        <v>1.2866902287758792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>
        <v>10.199999999999999</v>
      </c>
      <c r="AL99" s="51"/>
      <c r="AM99" s="51"/>
      <c r="AN99" s="51"/>
      <c r="AO99" s="51"/>
      <c r="AP99" s="88">
        <f t="shared" si="6"/>
        <v>22</v>
      </c>
      <c r="AQ99" s="89">
        <f t="shared" si="7"/>
        <v>9.1636363636363622</v>
      </c>
      <c r="AR99" s="89">
        <f>IFERROR(VLOOKUP(A99,Climatologia!A:U,9+$E$2,FALSE),"")</f>
        <v>8.6035988588983976</v>
      </c>
      <c r="AS99" s="89">
        <f t="shared" si="8"/>
        <v>0.56003750473796465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>
        <v>8.4</v>
      </c>
      <c r="AK100" s="51">
        <v>6.6</v>
      </c>
      <c r="AL100" s="51"/>
      <c r="AM100" s="51"/>
      <c r="AN100" s="51"/>
      <c r="AO100" s="51"/>
      <c r="AP100" s="88">
        <f t="shared" si="6"/>
        <v>26</v>
      </c>
      <c r="AQ100" s="89">
        <f t="shared" si="7"/>
        <v>7.9538461538461531</v>
      </c>
      <c r="AR100" s="89">
        <f>IFERROR(VLOOKUP(A100,Climatologia!A:U,9+$E$2,FALSE),"")</f>
        <v>7.1380787981158749</v>
      </c>
      <c r="AS100" s="89">
        <f t="shared" si="8"/>
        <v>0.81576735573027825</v>
      </c>
      <c r="AT100" s="90">
        <f t="shared" si="9"/>
        <v>5.2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>
        <v>12</v>
      </c>
      <c r="AK103" s="51">
        <v>14</v>
      </c>
      <c r="AL103" s="51"/>
      <c r="AM103" s="51"/>
      <c r="AN103" s="51"/>
      <c r="AO103" s="51"/>
      <c r="AP103" s="88">
        <f t="shared" si="6"/>
        <v>25</v>
      </c>
      <c r="AQ103" s="89">
        <f t="shared" si="7"/>
        <v>12.055999999999999</v>
      </c>
      <c r="AR103" s="89">
        <f>IFERROR(VLOOKUP(A103,Climatologia!A:U,9+$E$2,FALSE),"")</f>
        <v>11.27595769595214</v>
      </c>
      <c r="AS103" s="89">
        <f t="shared" si="8"/>
        <v>0.78004230404785879</v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>
        <v>7.5</v>
      </c>
      <c r="AL104" s="51"/>
      <c r="AM104" s="51"/>
      <c r="AN104" s="51"/>
      <c r="AO104" s="51"/>
      <c r="AP104" s="88">
        <f t="shared" si="6"/>
        <v>19</v>
      </c>
      <c r="AQ104" s="89">
        <f t="shared" si="7"/>
        <v>5.6052631578947372</v>
      </c>
      <c r="AR104" s="89">
        <f>IFERROR(VLOOKUP(A104,Climatologia!A:U,9+$E$2,FALSE),"")</f>
        <v>5.4140939864595783</v>
      </c>
      <c r="AS104" s="89">
        <f t="shared" si="8"/>
        <v>0.19116917143515888</v>
      </c>
      <c r="AT104" s="90">
        <f t="shared" si="9"/>
        <v>1.4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2.4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>
        <v>10</v>
      </c>
      <c r="AK105" s="51">
        <v>6.8</v>
      </c>
      <c r="AL105" s="51"/>
      <c r="AM105" s="51"/>
      <c r="AN105" s="51"/>
      <c r="AO105" s="51"/>
      <c r="AP105" s="88">
        <f t="shared" si="6"/>
        <v>27</v>
      </c>
      <c r="AQ105" s="89">
        <f t="shared" si="7"/>
        <v>6.4777777777777805</v>
      </c>
      <c r="AR105" s="89">
        <f>IFERROR(VLOOKUP(A105,Climatologia!A:U,9+$E$2,FALSE),"")</f>
        <v>6.7483058935476308</v>
      </c>
      <c r="AS105" s="89">
        <f t="shared" si="8"/>
        <v>-0.27052811576985025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>
        <v>11.4</v>
      </c>
      <c r="AK106" s="51">
        <v>10.8</v>
      </c>
      <c r="AL106" s="51"/>
      <c r="AM106" s="51"/>
      <c r="AN106" s="51"/>
      <c r="AO106" s="51"/>
      <c r="AP106" s="88">
        <f t="shared" si="6"/>
        <v>27</v>
      </c>
      <c r="AQ106" s="89">
        <f t="shared" si="7"/>
        <v>10.94074074074074</v>
      </c>
      <c r="AR106" s="89">
        <f>IFERROR(VLOOKUP(A106,Climatologia!A:U,9+$E$2,FALSE),"")</f>
        <v>10.11868743047831</v>
      </c>
      <c r="AS106" s="89">
        <f t="shared" si="8"/>
        <v>0.82205331026242945</v>
      </c>
      <c r="AT106" s="90">
        <f t="shared" si="9"/>
        <v>9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4.8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>
        <v>15.2</v>
      </c>
      <c r="AK107" s="51">
        <v>14.2</v>
      </c>
      <c r="AL107" s="51"/>
      <c r="AM107" s="51"/>
      <c r="AN107" s="51"/>
      <c r="AO107" s="51"/>
      <c r="AP107" s="88">
        <f t="shared" si="6"/>
        <v>27</v>
      </c>
      <c r="AQ107" s="89">
        <f t="shared" si="7"/>
        <v>14.200000000000001</v>
      </c>
      <c r="AR107" s="89">
        <f>IFERROR(VLOOKUP(A107,Climatologia!A:U,9+$E$2,FALSE),"")</f>
        <v>13.701938132316331</v>
      </c>
      <c r="AS107" s="89">
        <f t="shared" si="8"/>
        <v>0.49806186768367056</v>
      </c>
      <c r="AT107" s="90">
        <f t="shared" si="9"/>
        <v>12.6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5.3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>
        <v>12.6</v>
      </c>
      <c r="AK108" s="51">
        <v>11.6</v>
      </c>
      <c r="AL108" s="51"/>
      <c r="AM108" s="51"/>
      <c r="AN108" s="51"/>
      <c r="AO108" s="51"/>
      <c r="AP108" s="88">
        <f t="shared" si="6"/>
        <v>27</v>
      </c>
      <c r="AQ108" s="89">
        <f t="shared" si="7"/>
        <v>12.374074074074077</v>
      </c>
      <c r="AR108" s="89">
        <f>IFERROR(VLOOKUP(A108,Climatologia!A:U,9+$E$2,FALSE),"")</f>
        <v>11.932798761909369</v>
      </c>
      <c r="AS108" s="89">
        <f t="shared" si="8"/>
        <v>0.4412753121647075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>
        <v>15.8</v>
      </c>
      <c r="AK109" s="51">
        <v>14</v>
      </c>
      <c r="AL109" s="51"/>
      <c r="AM109" s="51"/>
      <c r="AN109" s="51"/>
      <c r="AO109" s="51"/>
      <c r="AP109" s="88">
        <f t="shared" si="6"/>
        <v>27</v>
      </c>
      <c r="AQ109" s="89">
        <f t="shared" si="7"/>
        <v>14.533333333333337</v>
      </c>
      <c r="AR109" s="89">
        <f>IFERROR(VLOOKUP(A109,Climatologia!A:U,9+$E$2,FALSE),"")</f>
        <v>13.551301836348379</v>
      </c>
      <c r="AS109" s="89">
        <f t="shared" si="8"/>
        <v>0.98203149698495729</v>
      </c>
      <c r="AT109" s="90">
        <f t="shared" si="9"/>
        <v>12.8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3.4000000000000004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>
        <v>16.600000000000001</v>
      </c>
      <c r="AK110" s="51">
        <v>15.2</v>
      </c>
      <c r="AL110" s="51"/>
      <c r="AM110" s="51"/>
      <c r="AN110" s="51"/>
      <c r="AO110" s="51"/>
      <c r="AP110" s="88">
        <f t="shared" si="6"/>
        <v>27</v>
      </c>
      <c r="AQ110" s="89">
        <f t="shared" si="7"/>
        <v>15.548148148148149</v>
      </c>
      <c r="AR110" s="89">
        <f>IFERROR(VLOOKUP(A110,Climatologia!A:U,9+$E$2,FALSE),"")</f>
        <v>13.61231765453679</v>
      </c>
      <c r="AS110" s="89">
        <f t="shared" si="8"/>
        <v>1.9358304936113591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>
        <v>19.399999999999999</v>
      </c>
      <c r="AK111" s="51">
        <v>17.8</v>
      </c>
      <c r="AL111" s="51"/>
      <c r="AM111" s="51"/>
      <c r="AN111" s="51"/>
      <c r="AO111" s="51"/>
      <c r="AP111" s="88">
        <f t="shared" si="6"/>
        <v>13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>
        <v>23.2</v>
      </c>
      <c r="AK112" s="51">
        <v>23.6</v>
      </c>
      <c r="AL112" s="51"/>
      <c r="AM112" s="51"/>
      <c r="AN112" s="51"/>
      <c r="AO112" s="51"/>
      <c r="AP112" s="88">
        <f t="shared" si="6"/>
        <v>27</v>
      </c>
      <c r="AQ112" s="89">
        <f t="shared" si="7"/>
        <v>22.977777777777785</v>
      </c>
      <c r="AR112" s="89">
        <f>IFERROR(VLOOKUP(A112,Climatologia!A:U,9+$E$2,FALSE),"")</f>
        <v>22.231405456385989</v>
      </c>
      <c r="AS112" s="89">
        <f t="shared" si="8"/>
        <v>0.74637232139179588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>
        <v>15</v>
      </c>
      <c r="AK113" s="51">
        <v>14.2</v>
      </c>
      <c r="AL113" s="51"/>
      <c r="AM113" s="51"/>
      <c r="AN113" s="51"/>
      <c r="AO113" s="51"/>
      <c r="AP113" s="88">
        <f t="shared" si="6"/>
        <v>25</v>
      </c>
      <c r="AQ113" s="89">
        <f t="shared" si="7"/>
        <v>15.036000000000001</v>
      </c>
      <c r="AR113" s="89">
        <f>IFERROR(VLOOKUP(A113,Climatologia!A:U,9+$E$2,FALSE),"")</f>
        <v>15.22725499231951</v>
      </c>
      <c r="AS113" s="89">
        <f t="shared" si="8"/>
        <v>-0.19125499231950904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>
        <v>19.2</v>
      </c>
      <c r="AK114" s="51">
        <v>19</v>
      </c>
      <c r="AL114" s="51"/>
      <c r="AM114" s="51"/>
      <c r="AN114" s="51"/>
      <c r="AO114" s="51"/>
      <c r="AP114" s="88">
        <f t="shared" si="6"/>
        <v>27</v>
      </c>
      <c r="AQ114" s="89">
        <f t="shared" si="7"/>
        <v>19.62962962962963</v>
      </c>
      <c r="AR114" s="89">
        <f>IFERROR(VLOOKUP(A114,Climatologia!A:U,9+$E$2,FALSE),"")</f>
        <v>21.8744421098889</v>
      </c>
      <c r="AS114" s="89">
        <f t="shared" si="8"/>
        <v>-2.2448124802592702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>
        <v>22.8</v>
      </c>
      <c r="AK115" s="51">
        <v>22.6</v>
      </c>
      <c r="AL115" s="51"/>
      <c r="AM115" s="51"/>
      <c r="AN115" s="51"/>
      <c r="AO115" s="51"/>
      <c r="AP115" s="88">
        <f t="shared" si="6"/>
        <v>27</v>
      </c>
      <c r="AQ115" s="89">
        <f t="shared" si="7"/>
        <v>22.977777777777781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>
        <v>20.2</v>
      </c>
      <c r="AK116" s="51">
        <v>20.2</v>
      </c>
      <c r="AL116" s="51"/>
      <c r="AM116" s="51"/>
      <c r="AN116" s="51"/>
      <c r="AO116" s="51"/>
      <c r="AP116" s="88">
        <f t="shared" si="6"/>
        <v>27</v>
      </c>
      <c r="AQ116" s="89">
        <f t="shared" si="7"/>
        <v>20.348148148148145</v>
      </c>
      <c r="AR116" s="89">
        <f>IFERROR(VLOOKUP(A116,Climatologia!A:U,9+$E$2,FALSE),"")</f>
        <v>18.265873654442618</v>
      </c>
      <c r="AS116" s="89">
        <f t="shared" si="8"/>
        <v>2.0822744937055262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>
        <v>6.2</v>
      </c>
      <c r="AK119" s="51"/>
      <c r="AL119" s="51"/>
      <c r="AM119" s="51"/>
      <c r="AN119" s="51"/>
      <c r="AO119" s="51"/>
      <c r="AP119" s="88">
        <f t="shared" si="6"/>
        <v>26</v>
      </c>
      <c r="AQ119" s="89">
        <f t="shared" si="7"/>
        <v>8.0307692307692307</v>
      </c>
      <c r="AR119" s="89">
        <f>IFERROR(VLOOKUP(A119,Climatologia!A:U,9+$E$2,FALSE),"")</f>
        <v>6.6382228524164031</v>
      </c>
      <c r="AS119" s="89">
        <f t="shared" si="8"/>
        <v>1.3925463783528276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>
        <v>11</v>
      </c>
      <c r="AK121" s="51">
        <v>10.5</v>
      </c>
      <c r="AL121" s="51"/>
      <c r="AM121" s="51"/>
      <c r="AN121" s="51"/>
      <c r="AO121" s="51"/>
      <c r="AP121" s="88">
        <f t="shared" si="6"/>
        <v>26</v>
      </c>
      <c r="AQ121" s="89">
        <f t="shared" si="7"/>
        <v>12.088461538461534</v>
      </c>
      <c r="AR121" s="89">
        <f>IFERROR(VLOOKUP(A121,Climatologia!A:U,9+$E$2,FALSE),"")</f>
        <v>11.282109879431809</v>
      </c>
      <c r="AS121" s="89">
        <f t="shared" si="8"/>
        <v>0.80635165902972439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>
        <v>7.4</v>
      </c>
      <c r="AK123" s="51">
        <v>7</v>
      </c>
      <c r="AL123" s="51"/>
      <c r="AM123" s="51"/>
      <c r="AN123" s="51"/>
      <c r="AO123" s="51"/>
      <c r="AP123" s="88">
        <f t="shared" si="6"/>
        <v>27</v>
      </c>
      <c r="AQ123" s="89">
        <f t="shared" si="7"/>
        <v>9.007407407407408</v>
      </c>
      <c r="AR123" s="89">
        <f>IFERROR(VLOOKUP(A123,Climatologia!A:U,9+$E$2,FALSE),"")</f>
        <v>8.088075663695717</v>
      </c>
      <c r="AS123" s="89">
        <f t="shared" si="8"/>
        <v>0.91933174371169102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>
        <v>11.9</v>
      </c>
      <c r="AK126" s="51">
        <v>12.2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12.68148148148148</v>
      </c>
      <c r="AR126" s="89">
        <f>IFERROR(VLOOKUP(A126,Climatologia!A:U,9+$E$2,FALSE),"")</f>
        <v>11.599107526881721</v>
      </c>
      <c r="AS126" s="89">
        <f t="shared" si="8"/>
        <v>1.0823739545997597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>
        <v>14.2</v>
      </c>
      <c r="AK127" s="51"/>
      <c r="AL127" s="51"/>
      <c r="AM127" s="51"/>
      <c r="AN127" s="51"/>
      <c r="AO127" s="51"/>
      <c r="AP127" s="88">
        <f t="shared" si="6"/>
        <v>26</v>
      </c>
      <c r="AQ127" s="89">
        <f t="shared" si="7"/>
        <v>14.323076923076922</v>
      </c>
      <c r="AR127" s="89">
        <f>IFERROR(VLOOKUP(A127,Climatologia!A:U,9+$E$2,FALSE),"")</f>
        <v>13.19300778642936</v>
      </c>
      <c r="AS127" s="89">
        <f t="shared" si="8"/>
        <v>1.1300691366475615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>
        <v>9.9</v>
      </c>
      <c r="AK129" s="51">
        <v>10</v>
      </c>
      <c r="AL129" s="51"/>
      <c r="AM129" s="51"/>
      <c r="AN129" s="51"/>
      <c r="AO129" s="51"/>
      <c r="AP129" s="88">
        <f t="shared" si="6"/>
        <v>27</v>
      </c>
      <c r="AQ129" s="89">
        <f t="shared" si="7"/>
        <v>10.774074074074074</v>
      </c>
      <c r="AR129" s="89">
        <f>IFERROR(VLOOKUP(A129,Climatologia!A:U,9+$E$2,FALSE),"")</f>
        <v>9.339817613927293</v>
      </c>
      <c r="AS129" s="89">
        <f t="shared" si="8"/>
        <v>1.4342564601467807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>
        <v>10</v>
      </c>
      <c r="AJ130" s="51">
        <v>10.6</v>
      </c>
      <c r="AK130" s="51">
        <v>9.8000000000000007</v>
      </c>
      <c r="AL130" s="51"/>
      <c r="AM130" s="51"/>
      <c r="AN130" s="51"/>
      <c r="AO130" s="51"/>
      <c r="AP130" s="88">
        <f t="shared" si="6"/>
        <v>26</v>
      </c>
      <c r="AQ130" s="89">
        <f t="shared" si="7"/>
        <v>11.161538461538463</v>
      </c>
      <c r="AR130" s="89">
        <f>IFERROR(VLOOKUP(A130,Climatologia!A:U,9+$E$2,FALSE),"")</f>
        <v>10.61877774246517</v>
      </c>
      <c r="AS130" s="89">
        <f t="shared" si="8"/>
        <v>0.54276071907329282</v>
      </c>
      <c r="AT130" s="90">
        <f t="shared" si="9"/>
        <v>9.8000000000000007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3.8000000000000007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>
        <v>15.8</v>
      </c>
      <c r="AK131" s="51">
        <v>16</v>
      </c>
      <c r="AL131" s="51"/>
      <c r="AM131" s="51"/>
      <c r="AN131" s="51"/>
      <c r="AO131" s="51"/>
      <c r="AP131" s="88">
        <f t="shared" si="6"/>
        <v>27</v>
      </c>
      <c r="AQ131" s="89">
        <f t="shared" si="7"/>
        <v>16</v>
      </c>
      <c r="AR131" s="89">
        <f>IFERROR(VLOOKUP(A131,Climatologia!A:U,9+$E$2,FALSE),"")</f>
        <v>14.704271801089879</v>
      </c>
      <c r="AS131" s="89">
        <f t="shared" si="8"/>
        <v>1.2957281989101208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>
        <v>4.8</v>
      </c>
      <c r="AL132" s="51"/>
      <c r="AM132" s="51"/>
      <c r="AN132" s="51"/>
      <c r="AO132" s="51"/>
      <c r="AP132" s="88">
        <f t="shared" si="6"/>
        <v>5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>
        <v>15</v>
      </c>
      <c r="AK134" s="51">
        <v>14</v>
      </c>
      <c r="AL134" s="51"/>
      <c r="AM134" s="51"/>
      <c r="AN134" s="51"/>
      <c r="AO134" s="51"/>
      <c r="AP134" s="88">
        <f t="shared" si="11"/>
        <v>27</v>
      </c>
      <c r="AQ134" s="89">
        <f t="shared" si="12"/>
        <v>15.140740740740743</v>
      </c>
      <c r="AR134" s="89">
        <f>IFERROR(VLOOKUP(A134,Climatologia!A:U,9+$E$2,FALSE),"")</f>
        <v>13.71360869121677</v>
      </c>
      <c r="AS134" s="89">
        <f t="shared" si="13"/>
        <v>1.4271320495239728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>
        <v>9.9</v>
      </c>
      <c r="AK135" s="51">
        <v>10.199999999999999</v>
      </c>
      <c r="AL135" s="51"/>
      <c r="AM135" s="51"/>
      <c r="AN135" s="51"/>
      <c r="AO135" s="51"/>
      <c r="AP135" s="88">
        <f t="shared" si="11"/>
        <v>27</v>
      </c>
      <c r="AQ135" s="89">
        <f t="shared" si="12"/>
        <v>10.655555555555555</v>
      </c>
      <c r="AR135" s="89">
        <f>IFERROR(VLOOKUP(A135,Climatologia!A:U,9+$E$2,FALSE),"")</f>
        <v>9.1551700301922789</v>
      </c>
      <c r="AS135" s="89">
        <f t="shared" si="13"/>
        <v>1.5003855253632761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>
        <v>13.4</v>
      </c>
      <c r="AK136" s="51">
        <v>12.6</v>
      </c>
      <c r="AL136" s="51"/>
      <c r="AM136" s="51"/>
      <c r="AN136" s="51"/>
      <c r="AO136" s="51"/>
      <c r="AP136" s="88">
        <f t="shared" si="11"/>
        <v>7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>
        <v>8.4</v>
      </c>
      <c r="AK137" s="51">
        <v>8.1999999999999993</v>
      </c>
      <c r="AL137" s="51"/>
      <c r="AM137" s="51"/>
      <c r="AN137" s="51"/>
      <c r="AO137" s="51"/>
      <c r="AP137" s="88">
        <f t="shared" si="11"/>
        <v>27</v>
      </c>
      <c r="AQ137" s="89">
        <f t="shared" si="12"/>
        <v>10.155555555555553</v>
      </c>
      <c r="AR137" s="89">
        <f>IFERROR(VLOOKUP(A137,Climatologia!A:U,9+$E$2,FALSE),"")</f>
        <v>8.9132299851098509</v>
      </c>
      <c r="AS137" s="89">
        <f t="shared" si="13"/>
        <v>1.2423255704457024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>
        <v>7</v>
      </c>
      <c r="AK138" s="51">
        <v>7.4</v>
      </c>
      <c r="AL138" s="51"/>
      <c r="AM138" s="51"/>
      <c r="AN138" s="51"/>
      <c r="AO138" s="51"/>
      <c r="AP138" s="88">
        <f t="shared" si="11"/>
        <v>27</v>
      </c>
      <c r="AQ138" s="89">
        <f t="shared" si="12"/>
        <v>8.0518518518518505</v>
      </c>
      <c r="AR138" s="89">
        <f>IFERROR(VLOOKUP(A138,Climatologia!A:U,9+$E$2,FALSE),"")</f>
        <v>6.7529781105990789</v>
      </c>
      <c r="AS138" s="89">
        <f t="shared" si="13"/>
        <v>1.2988737412527716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>
        <v>24.8</v>
      </c>
      <c r="AK139" s="51">
        <v>24.6</v>
      </c>
      <c r="AL139" s="51"/>
      <c r="AM139" s="51"/>
      <c r="AN139" s="51"/>
      <c r="AO139" s="51"/>
      <c r="AP139" s="88">
        <f t="shared" si="11"/>
        <v>27</v>
      </c>
      <c r="AQ139" s="89">
        <f t="shared" si="12"/>
        <v>24.392592592592592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>
        <v>11.8</v>
      </c>
      <c r="AK140" s="51">
        <v>11</v>
      </c>
      <c r="AL140" s="51"/>
      <c r="AM140" s="51"/>
      <c r="AN140" s="51"/>
      <c r="AO140" s="51"/>
      <c r="AP140" s="88">
        <f t="shared" si="11"/>
        <v>26</v>
      </c>
      <c r="AQ140" s="89">
        <f t="shared" si="12"/>
        <v>11.238461538461539</v>
      </c>
      <c r="AR140" s="89">
        <f>IFERROR(VLOOKUP(A140,Climatologia!A:U,9+$E$2,FALSE),"")</f>
        <v>11.20513978494624</v>
      </c>
      <c r="AS140" s="89">
        <f t="shared" si="13"/>
        <v>3.332175351529898E-2</v>
      </c>
      <c r="AT140" s="90">
        <f t="shared" si="14"/>
        <v>9.8000000000000007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7.2000000000000011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>
        <v>15.6</v>
      </c>
      <c r="AK141" s="51">
        <v>15</v>
      </c>
      <c r="AL141" s="51"/>
      <c r="AM141" s="51"/>
      <c r="AN141" s="51"/>
      <c r="AO141" s="51"/>
      <c r="AP141" s="88">
        <f t="shared" si="11"/>
        <v>27</v>
      </c>
      <c r="AQ141" s="89">
        <f t="shared" si="12"/>
        <v>15.044444444444444</v>
      </c>
      <c r="AR141" s="89">
        <f>IFERROR(VLOOKUP(A141,Climatologia!A:U,9+$E$2,FALSE),"")</f>
        <v>14.402137736815151</v>
      </c>
      <c r="AS141" s="89">
        <f t="shared" si="13"/>
        <v>0.64230670762929343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>
        <v>23.6</v>
      </c>
      <c r="AJ142" s="51">
        <v>24</v>
      </c>
      <c r="AK142" s="51">
        <v>23.8</v>
      </c>
      <c r="AL142" s="51"/>
      <c r="AM142" s="51"/>
      <c r="AN142" s="51"/>
      <c r="AO142" s="51"/>
      <c r="AP142" s="88">
        <f t="shared" si="11"/>
        <v>27</v>
      </c>
      <c r="AQ142" s="89">
        <f t="shared" si="12"/>
        <v>24.55555555555555</v>
      </c>
      <c r="AR142" s="89">
        <f>IFERROR(VLOOKUP(A142,Climatologia!A:U,9+$E$2,FALSE),"")</f>
        <v>22.245834878259799</v>
      </c>
      <c r="AS142" s="89">
        <f t="shared" si="13"/>
        <v>2.3097206772957506</v>
      </c>
      <c r="AT142" s="90">
        <f t="shared" si="14"/>
        <v>22.2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5.1999999999999993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>
        <v>19.8</v>
      </c>
      <c r="AK143" s="51">
        <v>19.2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19.918518518518521</v>
      </c>
      <c r="AR143" s="89">
        <f>IFERROR(VLOOKUP(A143,Climatologia!A:U,9+$E$2,FALSE),"")</f>
        <v>19.025806451612901</v>
      </c>
      <c r="AS143" s="89">
        <f t="shared" si="13"/>
        <v>0.89271206690562011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>
        <v>23.8</v>
      </c>
      <c r="AK144" s="51">
        <v>24.2</v>
      </c>
      <c r="AL144" s="51"/>
      <c r="AM144" s="51"/>
      <c r="AN144" s="51"/>
      <c r="AO144" s="51"/>
      <c r="AP144" s="88">
        <f t="shared" si="11"/>
        <v>27</v>
      </c>
      <c r="AQ144" s="89">
        <f t="shared" si="12"/>
        <v>24.148148148148149</v>
      </c>
      <c r="AR144" s="89">
        <f>IFERROR(VLOOKUP(A144,Climatologia!A:U,9+$E$2,FALSE),"")</f>
        <v>23.058077373350361</v>
      </c>
      <c r="AS144" s="89">
        <f t="shared" si="13"/>
        <v>1.0900707747977876</v>
      </c>
      <c r="AT144" s="90">
        <f t="shared" si="14"/>
        <v>22.6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6.6000000000000014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>
        <v>18.2</v>
      </c>
      <c r="AK145" s="51">
        <v>18.2</v>
      </c>
      <c r="AL145" s="51"/>
      <c r="AM145" s="51"/>
      <c r="AN145" s="51"/>
      <c r="AO145" s="51"/>
      <c r="AP145" s="88">
        <f t="shared" si="11"/>
        <v>27</v>
      </c>
      <c r="AQ145" s="89">
        <f t="shared" si="12"/>
        <v>17.207407407407405</v>
      </c>
      <c r="AR145" s="89">
        <f>IFERROR(VLOOKUP(A145,Climatologia!A:U,9+$E$2,FALSE),"")</f>
        <v>15.740161290322581</v>
      </c>
      <c r="AS145" s="89">
        <f t="shared" si="13"/>
        <v>1.4672461170848248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/>
      <c r="AK146" s="51">
        <v>11.8</v>
      </c>
      <c r="AL146" s="51"/>
      <c r="AM146" s="51"/>
      <c r="AN146" s="51"/>
      <c r="AO146" s="51"/>
      <c r="AP146" s="88">
        <f t="shared" si="11"/>
        <v>25</v>
      </c>
      <c r="AQ146" s="89">
        <f t="shared" si="12"/>
        <v>13.219999999999997</v>
      </c>
      <c r="AR146" s="89">
        <f>IFERROR(VLOOKUP(A146,Climatologia!A:U,9+$E$2,FALSE),"")</f>
        <v>13.803722366927129</v>
      </c>
      <c r="AS146" s="89">
        <f t="shared" si="13"/>
        <v>-0.58372236692713209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>
        <v>16.399999999999999</v>
      </c>
      <c r="AK147" s="51">
        <v>16.2</v>
      </c>
      <c r="AL147" s="51"/>
      <c r="AM147" s="51"/>
      <c r="AN147" s="51"/>
      <c r="AO147" s="51"/>
      <c r="AP147" s="88">
        <f t="shared" si="11"/>
        <v>27</v>
      </c>
      <c r="AQ147" s="89">
        <f t="shared" si="12"/>
        <v>16.3037037037037</v>
      </c>
      <c r="AR147" s="89">
        <f>IFERROR(VLOOKUP(A147,Climatologia!A:U,9+$E$2,FALSE),"")</f>
        <v>14.51408071669195</v>
      </c>
      <c r="AS147" s="89">
        <f t="shared" si="13"/>
        <v>1.7896229870117502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>
        <v>23.4</v>
      </c>
      <c r="AK150" s="51">
        <v>23.2</v>
      </c>
      <c r="AL150" s="51"/>
      <c r="AM150" s="51"/>
      <c r="AN150" s="51"/>
      <c r="AO150" s="51"/>
      <c r="AP150" s="88">
        <f t="shared" si="11"/>
        <v>27</v>
      </c>
      <c r="AQ150" s="89">
        <f t="shared" si="12"/>
        <v>24.648148148148145</v>
      </c>
      <c r="AR150" s="89">
        <f>IFERROR(VLOOKUP(A150,Climatologia!A:U,9+$E$2,FALSE),"")</f>
        <v>22.18387110738724</v>
      </c>
      <c r="AS150" s="89">
        <f t="shared" si="13"/>
        <v>2.4642770407609049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>
        <v>23.6</v>
      </c>
      <c r="AK151" s="51">
        <v>24.8</v>
      </c>
      <c r="AL151" s="51"/>
      <c r="AM151" s="51"/>
      <c r="AN151" s="51"/>
      <c r="AO151" s="51"/>
      <c r="AP151" s="88">
        <f t="shared" si="11"/>
        <v>24</v>
      </c>
      <c r="AQ151" s="89">
        <f t="shared" si="12"/>
        <v>24.358333333333331</v>
      </c>
      <c r="AR151" s="89">
        <f>IFERROR(VLOOKUP(A151,Climatologia!A:U,9+$E$2,FALSE),"")</f>
        <v>23.43347279820177</v>
      </c>
      <c r="AS151" s="89">
        <f t="shared" si="13"/>
        <v>0.92486053513156108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>
        <v>14.4</v>
      </c>
      <c r="AK152" s="51">
        <v>14.6</v>
      </c>
      <c r="AL152" s="51"/>
      <c r="AM152" s="51"/>
      <c r="AN152" s="51"/>
      <c r="AO152" s="51"/>
      <c r="AP152" s="88">
        <f t="shared" si="11"/>
        <v>26</v>
      </c>
      <c r="AQ152" s="89">
        <f t="shared" si="12"/>
        <v>15.315384615384612</v>
      </c>
      <c r="AR152" s="89">
        <f>IFERROR(VLOOKUP(A152,Climatologia!A:U,9+$E$2,FALSE),"")</f>
        <v>14.297625170572489</v>
      </c>
      <c r="AS152" s="89">
        <f t="shared" si="13"/>
        <v>1.017759444812123</v>
      </c>
      <c r="AT152" s="90">
        <f t="shared" si="14"/>
        <v>14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4.5999999999999996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>
        <v>20.2</v>
      </c>
      <c r="AK153" s="51">
        <v>21</v>
      </c>
      <c r="AL153" s="51"/>
      <c r="AM153" s="51"/>
      <c r="AN153" s="51"/>
      <c r="AO153" s="51"/>
      <c r="AP153" s="88">
        <f t="shared" si="11"/>
        <v>27</v>
      </c>
      <c r="AQ153" s="89">
        <f t="shared" si="12"/>
        <v>20.37037037037037</v>
      </c>
      <c r="AR153" s="89">
        <f>IFERROR(VLOOKUP(A153,Climatologia!A:U,9+$E$2,FALSE),"")</f>
        <v>19.338408533503909</v>
      </c>
      <c r="AS153" s="89">
        <f t="shared" si="13"/>
        <v>1.0319618368664614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>
        <v>16</v>
      </c>
      <c r="AK154" s="51">
        <v>16.600000000000001</v>
      </c>
      <c r="AL154" s="51"/>
      <c r="AM154" s="51"/>
      <c r="AN154" s="51"/>
      <c r="AO154" s="51"/>
      <c r="AP154" s="88">
        <f t="shared" si="11"/>
        <v>27</v>
      </c>
      <c r="AQ154" s="89">
        <f t="shared" si="12"/>
        <v>16.24814814814815</v>
      </c>
      <c r="AR154" s="89">
        <f>IFERROR(VLOOKUP(A154,Climatologia!A:U,9+$E$2,FALSE),"")</f>
        <v>15.46093670134405</v>
      </c>
      <c r="AS154" s="89">
        <f t="shared" si="13"/>
        <v>0.78721144680410049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>
        <v>19</v>
      </c>
      <c r="AK155" s="51">
        <v>18.8</v>
      </c>
      <c r="AL155" s="51"/>
      <c r="AM155" s="51"/>
      <c r="AN155" s="51"/>
      <c r="AO155" s="51"/>
      <c r="AP155" s="88">
        <f t="shared" si="11"/>
        <v>27</v>
      </c>
      <c r="AQ155" s="89">
        <f t="shared" si="12"/>
        <v>18.725925925925928</v>
      </c>
      <c r="AR155" s="89">
        <f>IFERROR(VLOOKUP(A155,Climatologia!A:U,9+$E$2,FALSE),"")</f>
        <v>17.87864592645921</v>
      </c>
      <c r="AS155" s="89">
        <f t="shared" si="13"/>
        <v>0.84727999946671773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>
        <v>9.6</v>
      </c>
      <c r="AK157" s="51">
        <v>9.8000000000000007</v>
      </c>
      <c r="AL157" s="51"/>
      <c r="AM157" s="51"/>
      <c r="AN157" s="51"/>
      <c r="AO157" s="51"/>
      <c r="AP157" s="88">
        <f t="shared" si="11"/>
        <v>25</v>
      </c>
      <c r="AQ157" s="89">
        <f t="shared" si="12"/>
        <v>10.151999999999999</v>
      </c>
      <c r="AR157" s="89">
        <f>IFERROR(VLOOKUP(A157,Climatologia!A:U,9+$E$2,FALSE),"")</f>
        <v>9.5855913978494645</v>
      </c>
      <c r="AS157" s="89">
        <f t="shared" si="13"/>
        <v>0.56640860215053479</v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2.8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>
        <v>13</v>
      </c>
      <c r="AK158" s="51">
        <v>13.6</v>
      </c>
      <c r="AL158" s="51"/>
      <c r="AM158" s="51"/>
      <c r="AN158" s="51"/>
      <c r="AO158" s="51"/>
      <c r="AP158" s="88">
        <f t="shared" si="11"/>
        <v>26</v>
      </c>
      <c r="AQ158" s="89">
        <f t="shared" si="12"/>
        <v>13.846153846153847</v>
      </c>
      <c r="AR158" s="89">
        <f>IFERROR(VLOOKUP(A158,Climatologia!A:U,9+$E$2,FALSE),"")</f>
        <v>13.943843654075909</v>
      </c>
      <c r="AS158" s="89">
        <f t="shared" si="13"/>
        <v>-9.7689807922062499E-2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>
        <v>20</v>
      </c>
      <c r="AK159" s="51">
        <v>21.2</v>
      </c>
      <c r="AL159" s="51"/>
      <c r="AM159" s="51"/>
      <c r="AN159" s="51"/>
      <c r="AO159" s="51"/>
      <c r="AP159" s="88">
        <f t="shared" si="11"/>
        <v>25</v>
      </c>
      <c r="AQ159" s="89">
        <f t="shared" si="12"/>
        <v>20.92</v>
      </c>
      <c r="AR159" s="89">
        <f>IFERROR(VLOOKUP(A159,Climatologia!A:U,9+$E$2,FALSE),"")</f>
        <v>19.834386821064239</v>
      </c>
      <c r="AS159" s="89">
        <f t="shared" si="13"/>
        <v>1.0856131789357626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>
        <v>5.8</v>
      </c>
      <c r="AK160" s="51">
        <v>6.2</v>
      </c>
      <c r="AL160" s="51"/>
      <c r="AM160" s="51"/>
      <c r="AN160" s="51"/>
      <c r="AO160" s="51"/>
      <c r="AP160" s="88">
        <f t="shared" si="11"/>
        <v>27</v>
      </c>
      <c r="AQ160" s="89">
        <f t="shared" si="12"/>
        <v>6.4592592592592597</v>
      </c>
      <c r="AR160" s="89">
        <f>IFERROR(VLOOKUP(A160,Climatologia!A:U,9+$E$2,FALSE),"")</f>
        <v>5.6003137960461657</v>
      </c>
      <c r="AS160" s="89">
        <f t="shared" si="13"/>
        <v>0.85894546321309395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>
        <v>21</v>
      </c>
      <c r="AK161" s="51">
        <v>20.6</v>
      </c>
      <c r="AL161" s="51"/>
      <c r="AM161" s="51"/>
      <c r="AN161" s="51"/>
      <c r="AO161" s="51"/>
      <c r="AP161" s="88">
        <f t="shared" si="11"/>
        <v>22</v>
      </c>
      <c r="AQ161" s="89">
        <f t="shared" si="12"/>
        <v>20.690909090909091</v>
      </c>
      <c r="AR161" s="89">
        <f>IFERROR(VLOOKUP(A161,Climatologia!A:U,9+$E$2,FALSE),"")</f>
        <v>20.495547320475019</v>
      </c>
      <c r="AS161" s="89">
        <f t="shared" si="13"/>
        <v>0.19536177043407221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>
        <v>12.8</v>
      </c>
      <c r="AK162" s="51">
        <v>15</v>
      </c>
      <c r="AL162" s="51"/>
      <c r="AM162" s="51"/>
      <c r="AN162" s="51"/>
      <c r="AO162" s="51"/>
      <c r="AP162" s="88">
        <f t="shared" si="11"/>
        <v>27</v>
      </c>
      <c r="AQ162" s="89">
        <f t="shared" si="12"/>
        <v>14.637037037037034</v>
      </c>
      <c r="AR162" s="89">
        <f>IFERROR(VLOOKUP(A162,Climatologia!A:U,9+$E$2,FALSE),"")</f>
        <v>13.818785782119109</v>
      </c>
      <c r="AS162" s="89">
        <f t="shared" si="13"/>
        <v>0.81825125491792505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>
        <v>18.600000000000001</v>
      </c>
      <c r="AK163" s="51">
        <v>17.600000000000001</v>
      </c>
      <c r="AL163" s="51"/>
      <c r="AM163" s="51"/>
      <c r="AN163" s="51"/>
      <c r="AO163" s="51"/>
      <c r="AP163" s="88">
        <f t="shared" si="11"/>
        <v>26</v>
      </c>
      <c r="AQ163" s="89">
        <f t="shared" si="12"/>
        <v>18.530769230769234</v>
      </c>
      <c r="AR163" s="89">
        <f>IFERROR(VLOOKUP(A163,Climatologia!A:U,9+$E$2,FALSE),"")</f>
        <v>18.04587813620072</v>
      </c>
      <c r="AS163" s="89">
        <f t="shared" si="13"/>
        <v>0.48489109456851409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>
        <v>18.600000000000001</v>
      </c>
      <c r="AK164" s="51">
        <v>18.399999999999999</v>
      </c>
      <c r="AL164" s="51"/>
      <c r="AM164" s="51"/>
      <c r="AN164" s="51"/>
      <c r="AO164" s="51"/>
      <c r="AP164" s="88">
        <f t="shared" si="11"/>
        <v>27</v>
      </c>
      <c r="AQ164" s="89">
        <f t="shared" si="12"/>
        <v>19.525925925925929</v>
      </c>
      <c r="AR164" s="89">
        <f>IFERROR(VLOOKUP(A164,Climatologia!A:U,9+$E$2,FALSE),"")</f>
        <v>19.115674945265461</v>
      </c>
      <c r="AS164" s="89">
        <f t="shared" si="13"/>
        <v>0.41025098066046795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>
        <v>10</v>
      </c>
      <c r="AK165" s="51">
        <v>10.6</v>
      </c>
      <c r="AL165" s="51"/>
      <c r="AM165" s="51"/>
      <c r="AN165" s="51"/>
      <c r="AO165" s="51"/>
      <c r="AP165" s="88">
        <f t="shared" si="11"/>
        <v>27</v>
      </c>
      <c r="AQ165" s="89">
        <f t="shared" si="12"/>
        <v>10.355555555555558</v>
      </c>
      <c r="AR165" s="89">
        <f>IFERROR(VLOOKUP(A165,Climatologia!A:U,9+$E$2,FALSE),"")</f>
        <v>8.3170988717622762</v>
      </c>
      <c r="AS165" s="89">
        <f t="shared" si="13"/>
        <v>2.0384566837932816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>
        <v>18.8</v>
      </c>
      <c r="AK169" s="51">
        <v>18.399999999999999</v>
      </c>
      <c r="AL169" s="51"/>
      <c r="AM169" s="51"/>
      <c r="AN169" s="51"/>
      <c r="AO169" s="51"/>
      <c r="AP169" s="88">
        <f t="shared" si="11"/>
        <v>24</v>
      </c>
      <c r="AQ169" s="89">
        <f t="shared" si="12"/>
        <v>19.716666666666672</v>
      </c>
      <c r="AR169" s="89">
        <f>IFERROR(VLOOKUP(A169,Climatologia!A:U,9+$E$2,FALSE),"")</f>
        <v>19.124532286510789</v>
      </c>
      <c r="AS169" s="89">
        <f t="shared" si="13"/>
        <v>0.59213438015588338</v>
      </c>
      <c r="AT169" s="90">
        <f t="shared" si="14"/>
        <v>18.399999999999999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>
        <v>15</v>
      </c>
      <c r="AK170" s="51">
        <v>14</v>
      </c>
      <c r="AL170" s="51"/>
      <c r="AM170" s="51"/>
      <c r="AN170" s="51"/>
      <c r="AO170" s="51"/>
      <c r="AP170" s="88">
        <f t="shared" si="11"/>
        <v>25</v>
      </c>
      <c r="AQ170" s="89">
        <f t="shared" si="12"/>
        <v>14.784000000000001</v>
      </c>
      <c r="AR170" s="89">
        <f>IFERROR(VLOOKUP(A170,Climatologia!A:U,9+$E$2,FALSE),"")</f>
        <v>13.62930109243467</v>
      </c>
      <c r="AS170" s="89">
        <f t="shared" si="13"/>
        <v>1.1546989075653311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>
        <v>23.4</v>
      </c>
      <c r="AK172" s="51">
        <v>22.4</v>
      </c>
      <c r="AL172" s="51"/>
      <c r="AM172" s="51"/>
      <c r="AN172" s="51"/>
      <c r="AO172" s="51"/>
      <c r="AP172" s="88">
        <f t="shared" si="11"/>
        <v>27</v>
      </c>
      <c r="AQ172" s="89">
        <f t="shared" si="12"/>
        <v>23.94074074074074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22.4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3.7999999999999972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>
        <v>23.2</v>
      </c>
      <c r="AK175" s="51">
        <v>19</v>
      </c>
      <c r="AL175" s="51"/>
      <c r="AM175" s="51"/>
      <c r="AN175" s="51"/>
      <c r="AO175" s="51"/>
      <c r="AP175" s="88">
        <f t="shared" si="11"/>
        <v>27</v>
      </c>
      <c r="AQ175" s="89">
        <f t="shared" si="12"/>
        <v>21.237037037037037</v>
      </c>
      <c r="AR175" s="89">
        <f>IFERROR(VLOOKUP(A175,Climatologia!A:U,9+$E$2,FALSE),"")</f>
        <v>20.105130783418979</v>
      </c>
      <c r="AS175" s="89">
        <f t="shared" si="13"/>
        <v>1.1319062536180589</v>
      </c>
      <c r="AT175" s="90">
        <f t="shared" si="14"/>
        <v>19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>
        <v>22.4</v>
      </c>
      <c r="AK176" s="51">
        <v>22.8</v>
      </c>
      <c r="AL176" s="51"/>
      <c r="AM176" s="51"/>
      <c r="AN176" s="51"/>
      <c r="AO176" s="51"/>
      <c r="AP176" s="88">
        <f t="shared" si="11"/>
        <v>24</v>
      </c>
      <c r="AQ176" s="89">
        <f t="shared" si="12"/>
        <v>22.633333333333336</v>
      </c>
      <c r="AR176" s="89">
        <f>IFERROR(VLOOKUP(A176,Climatologia!A:U,9+$E$2,FALSE),"")</f>
        <v>21.16664011681932</v>
      </c>
      <c r="AS176" s="89">
        <f t="shared" si="13"/>
        <v>1.4666932165140167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>
        <v>12.6</v>
      </c>
      <c r="AK179" s="51">
        <v>12.4</v>
      </c>
      <c r="AL179" s="51"/>
      <c r="AM179" s="51"/>
      <c r="AN179" s="51"/>
      <c r="AO179" s="51"/>
      <c r="AP179" s="88">
        <f t="shared" si="11"/>
        <v>27</v>
      </c>
      <c r="AQ179" s="89">
        <f t="shared" si="12"/>
        <v>13.659259259259258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>
        <v>23.8</v>
      </c>
      <c r="AK180" s="51">
        <v>24.8</v>
      </c>
      <c r="AL180" s="51"/>
      <c r="AM180" s="51"/>
      <c r="AN180" s="51"/>
      <c r="AO180" s="51"/>
      <c r="AP180" s="88">
        <f t="shared" si="11"/>
        <v>24</v>
      </c>
      <c r="AQ180" s="89">
        <f t="shared" si="12"/>
        <v>24.183333333333326</v>
      </c>
      <c r="AR180" s="89">
        <f>IFERROR(VLOOKUP(A180,Climatologia!A:U,9+$E$2,FALSE),"")</f>
        <v>22.996377049496669</v>
      </c>
      <c r="AS180" s="89">
        <f t="shared" si="13"/>
        <v>1.1869562838366576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>
        <v>23.4</v>
      </c>
      <c r="AK181" s="51">
        <v>23.2</v>
      </c>
      <c r="AL181" s="51"/>
      <c r="AM181" s="51"/>
      <c r="AN181" s="51"/>
      <c r="AO181" s="51"/>
      <c r="AP181" s="88">
        <f t="shared" si="11"/>
        <v>27</v>
      </c>
      <c r="AQ181" s="89">
        <f t="shared" si="12"/>
        <v>23.37037037037037</v>
      </c>
      <c r="AR181" s="89">
        <f>IFERROR(VLOOKUP(A181,Climatologia!A:U,9+$E$2,FALSE),"")</f>
        <v>21.595820289739919</v>
      </c>
      <c r="AS181" s="89">
        <f t="shared" si="13"/>
        <v>1.7745500806304513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>
        <v>12.2</v>
      </c>
      <c r="AK182" s="51">
        <v>11.8</v>
      </c>
      <c r="AL182" s="51"/>
      <c r="AM182" s="51"/>
      <c r="AN182" s="51"/>
      <c r="AO182" s="51"/>
      <c r="AP182" s="88">
        <f t="shared" si="11"/>
        <v>26</v>
      </c>
      <c r="AQ182" s="89">
        <f t="shared" si="12"/>
        <v>13.56153846153846</v>
      </c>
      <c r="AR182" s="89">
        <f>IFERROR(VLOOKUP(A182,Climatologia!A:U,9+$E$2,FALSE),"")</f>
        <v>14.26104885770514</v>
      </c>
      <c r="AS182" s="89">
        <f t="shared" si="13"/>
        <v>-0.69951039616667998</v>
      </c>
      <c r="AT182" s="90">
        <f t="shared" si="14"/>
        <v>11.8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0.80000000000000071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>
        <v>19.600000000000001</v>
      </c>
      <c r="AK183" s="51">
        <v>18.600000000000001</v>
      </c>
      <c r="AL183" s="51"/>
      <c r="AM183" s="51"/>
      <c r="AN183" s="51"/>
      <c r="AO183" s="51"/>
      <c r="AP183" s="88">
        <f t="shared" si="11"/>
        <v>27</v>
      </c>
      <c r="AQ183" s="89">
        <f t="shared" si="12"/>
        <v>18.948148148148153</v>
      </c>
      <c r="AR183" s="89">
        <f>IFERROR(VLOOKUP(A183,Climatologia!A:U,9+$E$2,FALSE),"")</f>
        <v>19.96734366044257</v>
      </c>
      <c r="AS183" s="89">
        <f t="shared" si="13"/>
        <v>-1.0191955122944165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>
        <v>19.399999999999999</v>
      </c>
      <c r="AK184" s="51">
        <v>20.8</v>
      </c>
      <c r="AL184" s="51"/>
      <c r="AM184" s="51"/>
      <c r="AN184" s="51"/>
      <c r="AO184" s="51"/>
      <c r="AP184" s="88">
        <f t="shared" si="11"/>
        <v>25</v>
      </c>
      <c r="AQ184" s="89">
        <f t="shared" si="12"/>
        <v>20.775999999999996</v>
      </c>
      <c r="AR184" s="89">
        <f>IFERROR(VLOOKUP(A184,Climatologia!A:U,9+$E$2,FALSE),"")</f>
        <v>20.017642373556349</v>
      </c>
      <c r="AS184" s="89">
        <f t="shared" si="13"/>
        <v>0.75835762644364735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>
        <v>14.6</v>
      </c>
      <c r="AK185" s="51">
        <v>15.4</v>
      </c>
      <c r="AL185" s="51"/>
      <c r="AM185" s="51"/>
      <c r="AN185" s="51"/>
      <c r="AO185" s="51"/>
      <c r="AP185" s="88">
        <f t="shared" si="11"/>
        <v>27</v>
      </c>
      <c r="AQ185" s="89">
        <f t="shared" si="12"/>
        <v>16.318518518518516</v>
      </c>
      <c r="AR185" s="89">
        <f>IFERROR(VLOOKUP(A185,Climatologia!A:U,9+$E$2,FALSE),"")</f>
        <v>16.78927904074477</v>
      </c>
      <c r="AS185" s="89">
        <f t="shared" si="13"/>
        <v>-0.47076052222625364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>
        <v>20.8</v>
      </c>
      <c r="AK186" s="51">
        <v>21.6</v>
      </c>
      <c r="AL186" s="51"/>
      <c r="AM186" s="51"/>
      <c r="AN186" s="51"/>
      <c r="AO186" s="51"/>
      <c r="AP186" s="88">
        <f t="shared" si="11"/>
        <v>27</v>
      </c>
      <c r="AQ186" s="89">
        <f t="shared" si="12"/>
        <v>22.274074074074072</v>
      </c>
      <c r="AR186" s="89">
        <f>IFERROR(VLOOKUP(A186,Climatologia!A:U,9+$E$2,FALSE),"")</f>
        <v>20.659011266682761</v>
      </c>
      <c r="AS186" s="89">
        <f t="shared" si="13"/>
        <v>1.6150628073913111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>
        <v>18</v>
      </c>
      <c r="AK187" s="51">
        <v>17.600000000000001</v>
      </c>
      <c r="AL187" s="51"/>
      <c r="AM187" s="51"/>
      <c r="AN187" s="51"/>
      <c r="AO187" s="51"/>
      <c r="AP187" s="88">
        <f t="shared" si="11"/>
        <v>26</v>
      </c>
      <c r="AQ187" s="89">
        <f t="shared" si="12"/>
        <v>17.876923076923074</v>
      </c>
      <c r="AR187" s="89">
        <f>IFERROR(VLOOKUP(A187,Climatologia!A:U,9+$E$2,FALSE),"")</f>
        <v>16.78852483149106</v>
      </c>
      <c r="AS187" s="89">
        <f t="shared" si="13"/>
        <v>1.088398245432014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>
        <v>20.6</v>
      </c>
      <c r="AK188" s="51">
        <v>21.4</v>
      </c>
      <c r="AL188" s="51"/>
      <c r="AM188" s="51"/>
      <c r="AN188" s="51"/>
      <c r="AO188" s="51"/>
      <c r="AP188" s="88">
        <f t="shared" si="11"/>
        <v>27</v>
      </c>
      <c r="AQ188" s="89">
        <f t="shared" si="12"/>
        <v>21.288888888888888</v>
      </c>
      <c r="AR188" s="89">
        <f>IFERROR(VLOOKUP(A188,Climatologia!A:U,9+$E$2,FALSE),"")</f>
        <v>20.02675378177625</v>
      </c>
      <c r="AS188" s="89">
        <f t="shared" si="13"/>
        <v>1.2621351071126377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>
        <v>18.600000000000001</v>
      </c>
      <c r="AK189" s="51">
        <v>17.2</v>
      </c>
      <c r="AL189" s="51"/>
      <c r="AM189" s="51"/>
      <c r="AN189" s="51"/>
      <c r="AO189" s="51"/>
      <c r="AP189" s="88">
        <f t="shared" si="11"/>
        <v>27</v>
      </c>
      <c r="AQ189" s="89">
        <f t="shared" si="12"/>
        <v>18.037037037037038</v>
      </c>
      <c r="AR189" s="89">
        <f>IFERROR(VLOOKUP(A189,Climatologia!A:U,9+$E$2,FALSE),"")</f>
        <v>15.545325140809011</v>
      </c>
      <c r="AS189" s="89">
        <f t="shared" si="13"/>
        <v>2.4917118962280274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>
        <v>13.6</v>
      </c>
      <c r="AK190" s="51">
        <v>11.2</v>
      </c>
      <c r="AL190" s="51"/>
      <c r="AM190" s="51"/>
      <c r="AN190" s="51"/>
      <c r="AO190" s="51"/>
      <c r="AP190" s="88">
        <f t="shared" si="11"/>
        <v>27</v>
      </c>
      <c r="AQ190" s="89">
        <f t="shared" si="12"/>
        <v>13.355555555555561</v>
      </c>
      <c r="AR190" s="89">
        <f>IFERROR(VLOOKUP(A190,Climatologia!A:U,9+$E$2,FALSE),"")</f>
        <v>11.488216794380589</v>
      </c>
      <c r="AS190" s="89">
        <f t="shared" si="13"/>
        <v>1.8673387611749721</v>
      </c>
      <c r="AT190" s="90">
        <f t="shared" si="14"/>
        <v>11.2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>
        <v>9.1999999999999993</v>
      </c>
      <c r="AK191" s="51">
        <v>8</v>
      </c>
      <c r="AL191" s="51"/>
      <c r="AM191" s="51"/>
      <c r="AN191" s="51"/>
      <c r="AO191" s="51"/>
      <c r="AP191" s="88">
        <f t="shared" si="11"/>
        <v>27</v>
      </c>
      <c r="AQ191" s="89">
        <f t="shared" si="12"/>
        <v>8.162962962962963</v>
      </c>
      <c r="AR191" s="89">
        <f>IFERROR(VLOOKUP(A191,Climatologia!A:U,9+$E$2,FALSE),"")</f>
        <v>7.3708373411860384</v>
      </c>
      <c r="AS191" s="89">
        <f t="shared" si="13"/>
        <v>0.79212562177692458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>
        <v>22</v>
      </c>
      <c r="AK192" s="51">
        <v>21.6</v>
      </c>
      <c r="AL192" s="51"/>
      <c r="AM192" s="51"/>
      <c r="AN192" s="51"/>
      <c r="AO192" s="51"/>
      <c r="AP192" s="88">
        <f t="shared" si="11"/>
        <v>27</v>
      </c>
      <c r="AQ192" s="89">
        <f t="shared" si="12"/>
        <v>21.518518518518523</v>
      </c>
      <c r="AR192" s="89">
        <f>IFERROR(VLOOKUP(A192,Climatologia!A:U,9+$E$2,FALSE),"")</f>
        <v>19.76640571428571</v>
      </c>
      <c r="AS192" s="89">
        <f t="shared" si="13"/>
        <v>1.7521128042328122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/>
      <c r="AK193" s="51"/>
      <c r="AL193" s="51"/>
      <c r="AM193" s="51"/>
      <c r="AN193" s="51"/>
      <c r="AO193" s="51"/>
      <c r="AP193" s="88">
        <f t="shared" si="11"/>
        <v>25</v>
      </c>
      <c r="AQ193" s="89">
        <f t="shared" si="12"/>
        <v>9.8559999999999981</v>
      </c>
      <c r="AR193" s="89">
        <f>IFERROR(VLOOKUP(A193,Climatologia!A:U,9+$E$2,FALSE),"")</f>
        <v>8.3038288971873495</v>
      </c>
      <c r="AS193" s="89">
        <f t="shared" si="13"/>
        <v>1.5521711028126486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/>
      <c r="AK194" s="51">
        <v>7</v>
      </c>
      <c r="AL194" s="51"/>
      <c r="AM194" s="51"/>
      <c r="AN194" s="51"/>
      <c r="AO194" s="51"/>
      <c r="AP194" s="88">
        <f t="shared" si="11"/>
        <v>25</v>
      </c>
      <c r="AQ194" s="89">
        <f t="shared" si="12"/>
        <v>9.0559999999999992</v>
      </c>
      <c r="AR194" s="89">
        <f>IFERROR(VLOOKUP(A194,Climatologia!A:U,9+$E$2,FALSE),"")</f>
        <v>7.7278206554291087</v>
      </c>
      <c r="AS194" s="89">
        <f t="shared" si="13"/>
        <v>1.3281793445708905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>
        <v>7.6</v>
      </c>
      <c r="AK196" s="51">
        <v>8</v>
      </c>
      <c r="AL196" s="51"/>
      <c r="AM196" s="51"/>
      <c r="AN196" s="51"/>
      <c r="AO196" s="51"/>
      <c r="AP196" s="88">
        <f t="shared" si="11"/>
        <v>27</v>
      </c>
      <c r="AQ196" s="89">
        <f t="shared" si="12"/>
        <v>6.166666666666667</v>
      </c>
      <c r="AR196" s="89">
        <f>IFERROR(VLOOKUP(A196,Climatologia!A:U,9+$E$2,FALSE),"")</f>
        <v>7.7848444585694851</v>
      </c>
      <c r="AS196" s="89">
        <f t="shared" si="13"/>
        <v>-1.6181777919028182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>
        <v>9.8000000000000007</v>
      </c>
      <c r="AL197" s="51"/>
      <c r="AM197" s="51"/>
      <c r="AN197" s="51"/>
      <c r="AO197" s="51"/>
      <c r="AP197" s="88">
        <f t="shared" ref="AP197:AP260" si="16">COUNTIF(K197:AO197,"&gt;0")</f>
        <v>24</v>
      </c>
      <c r="AQ197" s="89">
        <f t="shared" ref="AQ197:AQ260" si="17">IF(AP197&gt;14,AVERAGE(K197:AO197),"")</f>
        <v>9.0583333333333353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2.2409870967741981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/>
      <c r="AK198" s="51">
        <v>7.8</v>
      </c>
      <c r="AL198" s="51"/>
      <c r="AM198" s="51"/>
      <c r="AN198" s="51"/>
      <c r="AO198" s="51"/>
      <c r="AP198" s="88">
        <f t="shared" si="16"/>
        <v>26</v>
      </c>
      <c r="AQ198" s="89">
        <f t="shared" si="17"/>
        <v>8.4461538461538463</v>
      </c>
      <c r="AR198" s="89">
        <f>IFERROR(VLOOKUP(A198,Climatologia!A:U,9+$E$2,FALSE),"")</f>
        <v>7.8933666539450718</v>
      </c>
      <c r="AS198" s="89">
        <f t="shared" si="18"/>
        <v>0.55278719220877459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>
        <v>12</v>
      </c>
      <c r="AK199" s="51">
        <v>9</v>
      </c>
      <c r="AL199" s="51"/>
      <c r="AM199" s="51"/>
      <c r="AN199" s="51"/>
      <c r="AO199" s="51"/>
      <c r="AP199" s="88">
        <f t="shared" si="16"/>
        <v>27</v>
      </c>
      <c r="AQ199" s="89">
        <f t="shared" si="17"/>
        <v>9.6962962962962944</v>
      </c>
      <c r="AR199" s="89">
        <f>IFERROR(VLOOKUP(A199,Climatologia!A:U,9+$E$2,FALSE),"")</f>
        <v>7.7598125606935424</v>
      </c>
      <c r="AS199" s="89">
        <f t="shared" si="18"/>
        <v>1.936483735602752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/>
      <c r="AK200" s="51">
        <v>11</v>
      </c>
      <c r="AL200" s="51"/>
      <c r="AM200" s="51"/>
      <c r="AN200" s="51"/>
      <c r="AO200" s="51"/>
      <c r="AP200" s="88">
        <f t="shared" si="16"/>
        <v>25</v>
      </c>
      <c r="AQ200" s="89">
        <f t="shared" si="17"/>
        <v>9.8320000000000007</v>
      </c>
      <c r="AR200" s="89">
        <f>IFERROR(VLOOKUP(A200,Climatologia!A:U,9+$E$2,FALSE),"")</f>
        <v>7.4125279631689516</v>
      </c>
      <c r="AS200" s="89">
        <f t="shared" si="18"/>
        <v>2.4194720368310492</v>
      </c>
      <c r="AT200" s="90">
        <f t="shared" si="19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6.3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>
        <v>10</v>
      </c>
      <c r="AK201" s="51">
        <v>7.4</v>
      </c>
      <c r="AL201" s="51"/>
      <c r="AM201" s="51"/>
      <c r="AN201" s="51"/>
      <c r="AO201" s="51"/>
      <c r="AP201" s="88">
        <f t="shared" si="16"/>
        <v>24</v>
      </c>
      <c r="AQ201" s="89">
        <f t="shared" si="17"/>
        <v>8.4791666666666661</v>
      </c>
      <c r="AR201" s="89">
        <f>IFERROR(VLOOKUP(A201,Climatologia!A:U,9+$E$2,FALSE),"")</f>
        <v>6.7196341375857118</v>
      </c>
      <c r="AS201" s="89">
        <f t="shared" si="18"/>
        <v>1.7595325290809543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/>
      <c r="AK202" s="51">
        <v>5.2</v>
      </c>
      <c r="AL202" s="51"/>
      <c r="AM202" s="51"/>
      <c r="AN202" s="51"/>
      <c r="AO202" s="51"/>
      <c r="AP202" s="88">
        <f t="shared" si="16"/>
        <v>19</v>
      </c>
      <c r="AQ202" s="89">
        <f t="shared" si="17"/>
        <v>8.7578947368421058</v>
      </c>
      <c r="AR202" s="89">
        <f>IFERROR(VLOOKUP(A202,Climatologia!A:U,9+$E$2,FALSE),"")</f>
        <v>7.737258054422024</v>
      </c>
      <c r="AS202" s="89">
        <f t="shared" si="18"/>
        <v>1.0206366824200819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>
        <v>8.4</v>
      </c>
      <c r="AK203" s="51">
        <v>8.1999999999999993</v>
      </c>
      <c r="AL203" s="51"/>
      <c r="AM203" s="51"/>
      <c r="AN203" s="51"/>
      <c r="AO203" s="51"/>
      <c r="AP203" s="88">
        <f t="shared" si="16"/>
        <v>27</v>
      </c>
      <c r="AQ203" s="89">
        <f t="shared" si="17"/>
        <v>8.1481481481481488</v>
      </c>
      <c r="AR203" s="89">
        <f>IFERROR(VLOOKUP(A203,Climatologia!A:U,9+$E$2,FALSE),"")</f>
        <v>8.0131665360709121</v>
      </c>
      <c r="AS203" s="89">
        <f t="shared" si="18"/>
        <v>0.13498161207723669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>
        <v>4.4000000000000004</v>
      </c>
      <c r="AK204" s="51">
        <v>4.5999999999999996</v>
      </c>
      <c r="AL204" s="51"/>
      <c r="AM204" s="51"/>
      <c r="AN204" s="51"/>
      <c r="AO204" s="51"/>
      <c r="AP204" s="88">
        <f t="shared" si="16"/>
        <v>27</v>
      </c>
      <c r="AQ204" s="89">
        <f t="shared" si="17"/>
        <v>5.177777777777778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/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11.233333333333333</v>
      </c>
      <c r="AR206" s="89">
        <f>IFERROR(VLOOKUP(A206,Climatologia!A:U,9+$E$2,FALSE),"")</f>
        <v>9.4398271387109567</v>
      </c>
      <c r="AS206" s="89">
        <f t="shared" si="18"/>
        <v>1.7935061946223758</v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7.8000000000000007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/>
      <c r="AK207" s="51"/>
      <c r="AL207" s="51"/>
      <c r="AM207" s="51"/>
      <c r="AN207" s="51"/>
      <c r="AO207" s="51"/>
      <c r="AP207" s="88">
        <f t="shared" si="16"/>
        <v>25</v>
      </c>
      <c r="AQ207" s="89">
        <f t="shared" si="17"/>
        <v>6.2720000000000002</v>
      </c>
      <c r="AR207" s="89">
        <f>IFERROR(VLOOKUP(A207,Climatologia!A:U,9+$E$2,FALSE),"")</f>
        <v>5.2432824793440451</v>
      </c>
      <c r="AS207" s="89">
        <f t="shared" si="18"/>
        <v>1.0287175206559551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>
        <v>22.8</v>
      </c>
      <c r="AK208" s="51">
        <v>22</v>
      </c>
      <c r="AL208" s="51"/>
      <c r="AM208" s="51"/>
      <c r="AN208" s="51"/>
      <c r="AO208" s="51"/>
      <c r="AP208" s="88">
        <f t="shared" si="16"/>
        <v>27</v>
      </c>
      <c r="AQ208" s="89">
        <f t="shared" si="17"/>
        <v>20.748148148148147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2026-07-27T15:23:20Z</dcterms:modified>
</cp:coreProperties>
</file>