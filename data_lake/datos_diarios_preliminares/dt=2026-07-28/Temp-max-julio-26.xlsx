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D0130718-98BB-445C-8536-09BA215828CE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<sst xmlns="http://schemas.openxmlformats.org/spreadsheetml/2006/main" count="604" uniqueCount="273">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</sst>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H31" activePane="bottomRight" state="frozen"/>
      <selection pane="topRight" activeCell="E1" sqref="E1"/>
      <selection pane="bottomLeft" activeCell="A4" sqref="A4"/>
      <selection pane="bottomRight" activeCell="N42" sqref="N42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>
        <v>30.8</v>
      </c>
      <c r="Z5" s="57">
        <v>30.7</v>
      </c>
      <c r="AA5" s="57">
        <v>31.2</v>
      </c>
      <c r="AB5" s="57">
        <v>30.7</v>
      </c>
      <c r="AC5" s="57">
        <v>30.8</v>
      </c>
      <c r="AD5" s="57">
        <v>31.7</v>
      </c>
      <c r="AE5" s="57">
        <v>31.3</v>
      </c>
      <c r="AF5" s="57"/>
      <c r="AG5" s="57"/>
      <c r="AH5" s="57"/>
      <c r="AI5" s="57"/>
      <c r="AJ5" s="37">
        <f>+IF(SUM($E5:$AI5)&gt;0,LOOKUP(1000,$E5:$AI5),NA())</f>
        <v>31.3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31.07407407407408</v>
      </c>
      <c r="AP5" s="23">
        <f>IF(AN5&gt;0,IFERROR(AO5-AN5,""),"")</f>
        <v>0.87670229806585098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>
        <v>30.8</v>
      </c>
      <c r="Z6" s="57">
        <v>31.1</v>
      </c>
      <c r="AA6" s="57">
        <v>30.8</v>
      </c>
      <c r="AB6" s="57">
        <v>29.7</v>
      </c>
      <c r="AC6" s="57">
        <v>30.6</v>
      </c>
      <c r="AD6" s="57">
        <v>30.9</v>
      </c>
      <c r="AE6" s="57">
        <v>31</v>
      </c>
      <c r="AF6" s="57"/>
      <c r="AG6" s="57"/>
      <c r="AH6" s="57"/>
      <c r="AI6" s="57"/>
      <c r="AJ6" s="37">
        <f t="shared" ref="AJ6:AJ48" si="0">+IF(SUM($E6:$AI6)&gt;0,LOOKUP(1000,$E6:$AI6),NA())</f>
        <v>31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30.637037037037036</v>
      </c>
      <c r="AP6" s="23">
        <f t="shared" ref="AP6:AP48" si="4">IF(AN6&gt;0,IFERROR(AO6-AN6,""),"")</f>
        <v>-1.7243359985304352E-2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>
        <v>32.6</v>
      </c>
      <c r="Z7" s="57">
        <v>35</v>
      </c>
      <c r="AA7" s="57">
        <v>32</v>
      </c>
      <c r="AB7" s="57">
        <v>32.700000000000003</v>
      </c>
      <c r="AC7" s="57">
        <v>36.6</v>
      </c>
      <c r="AD7" s="57">
        <v>34.6</v>
      </c>
      <c r="AE7" s="57">
        <v>34.4</v>
      </c>
      <c r="AF7" s="57"/>
      <c r="AG7" s="57"/>
      <c r="AH7" s="57"/>
      <c r="AI7" s="57"/>
      <c r="AJ7" s="37">
        <f t="shared" si="0"/>
        <v>34.4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35.396296296296299</v>
      </c>
      <c r="AP7" s="23">
        <f t="shared" si="4"/>
        <v>2.0302802887272264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>
        <v>32.799999999999997</v>
      </c>
      <c r="Z8" s="57">
        <v>33.1</v>
      </c>
      <c r="AA8" s="57">
        <v>32.4</v>
      </c>
      <c r="AB8" s="57">
        <v>32.200000000000003</v>
      </c>
      <c r="AC8" s="57">
        <v>33.4</v>
      </c>
      <c r="AD8" s="57">
        <v>33</v>
      </c>
      <c r="AE8" s="57">
        <v>32.6</v>
      </c>
      <c r="AF8" s="57"/>
      <c r="AG8" s="57"/>
      <c r="AH8" s="57"/>
      <c r="AI8" s="57"/>
      <c r="AJ8" s="37">
        <f t="shared" si="0"/>
        <v>32.6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33.144444444444446</v>
      </c>
      <c r="AP8" s="23">
        <f t="shared" si="4"/>
        <v>0.8954014336917524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>
        <v>34</v>
      </c>
      <c r="Z9" s="57">
        <v>33.6</v>
      </c>
      <c r="AA9" s="57">
        <v>33.799999999999997</v>
      </c>
      <c r="AB9" s="57">
        <v>34.1</v>
      </c>
      <c r="AC9" s="57">
        <v>33.299999999999997</v>
      </c>
      <c r="AD9" s="57">
        <v>35</v>
      </c>
      <c r="AE9" s="57">
        <v>32.9</v>
      </c>
      <c r="AF9" s="57"/>
      <c r="AG9" s="57"/>
      <c r="AH9" s="57"/>
      <c r="AI9" s="57"/>
      <c r="AJ9" s="37">
        <f t="shared" si="0"/>
        <v>32.9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33.785185185185185</v>
      </c>
      <c r="AP9" s="23">
        <f t="shared" si="4"/>
        <v>0.69393904750133828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>
        <v>35.799999999999997</v>
      </c>
      <c r="Z10" s="57">
        <v>35.5</v>
      </c>
      <c r="AA10" s="57">
        <v>36</v>
      </c>
      <c r="AB10" s="57">
        <v>36.6</v>
      </c>
      <c r="AC10" s="57">
        <v>36.299999999999997</v>
      </c>
      <c r="AD10" s="57">
        <v>36.5</v>
      </c>
      <c r="AE10" s="57">
        <v>35.1</v>
      </c>
      <c r="AF10" s="57"/>
      <c r="AG10" s="57"/>
      <c r="AH10" s="57"/>
      <c r="AI10" s="57"/>
      <c r="AJ10" s="37">
        <f t="shared" si="0"/>
        <v>35.1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35.833333333333329</v>
      </c>
      <c r="AP10" s="23">
        <f t="shared" si="4"/>
        <v>0.45309510567297195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>
        <v>37.4</v>
      </c>
      <c r="Z11" s="57">
        <v>37.700000000000003</v>
      </c>
      <c r="AA11" s="57">
        <v>34</v>
      </c>
      <c r="AB11" s="57">
        <v>38.799999999999997</v>
      </c>
      <c r="AC11" s="57">
        <v>39.4</v>
      </c>
      <c r="AD11" s="57">
        <v>38.4</v>
      </c>
      <c r="AE11" s="57">
        <v>37.6</v>
      </c>
      <c r="AF11" s="57"/>
      <c r="AG11" s="57"/>
      <c r="AH11" s="57"/>
      <c r="AI11" s="57"/>
      <c r="AJ11" s="37">
        <f t="shared" si="0"/>
        <v>37.6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38.037037037037031</v>
      </c>
      <c r="AP11" s="23">
        <f t="shared" si="4"/>
        <v>2.4997529441884296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>
        <v>33.4</v>
      </c>
      <c r="Z12" s="57">
        <v>34.200000000000003</v>
      </c>
      <c r="AA12" s="57">
        <v>36.799999999999997</v>
      </c>
      <c r="AB12" s="57">
        <v>33.799999999999997</v>
      </c>
      <c r="AC12" s="57">
        <v>33.799999999999997</v>
      </c>
      <c r="AD12" s="57">
        <v>35</v>
      </c>
      <c r="AE12" s="57">
        <v>33.200000000000003</v>
      </c>
      <c r="AF12" s="57"/>
      <c r="AG12" s="57"/>
      <c r="AH12" s="57"/>
      <c r="AI12" s="57"/>
      <c r="AJ12" s="37">
        <f t="shared" si="0"/>
        <v>33.200000000000003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34.629629629629626</v>
      </c>
      <c r="AP12" s="23">
        <f t="shared" si="4"/>
        <v>2.4410054834558892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>
        <v>33.799999999999997</v>
      </c>
      <c r="Z13" s="57">
        <v>35</v>
      </c>
      <c r="AA13" s="57">
        <v>27.6</v>
      </c>
      <c r="AB13" s="57">
        <v>34.4</v>
      </c>
      <c r="AC13" s="57">
        <v>35.4</v>
      </c>
      <c r="AD13" s="57">
        <v>35.200000000000003</v>
      </c>
      <c r="AE13" s="57">
        <v>33</v>
      </c>
      <c r="AF13" s="57"/>
      <c r="AG13" s="57"/>
      <c r="AH13" s="57"/>
      <c r="AI13" s="57"/>
      <c r="AJ13" s="37">
        <f t="shared" si="0"/>
        <v>33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35.318518518518516</v>
      </c>
      <c r="AP13" s="23">
        <f t="shared" si="4"/>
        <v>1.9367264038231795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>
        <v>34.9</v>
      </c>
      <c r="Z14" s="57">
        <v>35.9</v>
      </c>
      <c r="AA14" s="57">
        <v>26.2</v>
      </c>
      <c r="AB14" s="57">
        <v>34.4</v>
      </c>
      <c r="AC14" s="57">
        <v>36</v>
      </c>
      <c r="AD14" s="57">
        <v>33.299999999999997</v>
      </c>
      <c r="AE14" s="57">
        <v>32.4</v>
      </c>
      <c r="AF14" s="57"/>
      <c r="AG14" s="57"/>
      <c r="AH14" s="57"/>
      <c r="AI14" s="57"/>
      <c r="AJ14" s="37">
        <f t="shared" si="0"/>
        <v>32.4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34.596296296296295</v>
      </c>
      <c r="AP14" s="23">
        <f t="shared" si="4"/>
        <v>1.3713596970820632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>
        <v>31.9</v>
      </c>
      <c r="Z15" s="57">
        <v>32.799999999999997</v>
      </c>
      <c r="AA15" s="57">
        <v>27.9</v>
      </c>
      <c r="AB15" s="57">
        <v>32.200000000000003</v>
      </c>
      <c r="AC15" s="57">
        <v>33.4</v>
      </c>
      <c r="AD15" s="57">
        <v>30.4</v>
      </c>
      <c r="AE15" s="57">
        <v>32.1</v>
      </c>
      <c r="AF15" s="57"/>
      <c r="AG15" s="57"/>
      <c r="AH15" s="57"/>
      <c r="AI15" s="57"/>
      <c r="AJ15" s="37">
        <f t="shared" si="0"/>
        <v>32.1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31.74444444444444</v>
      </c>
      <c r="AP15" s="23">
        <f t="shared" si="4"/>
        <v>9.1069883644898653E-3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>
        <v>31.6</v>
      </c>
      <c r="Z17" s="57">
        <v>34.4</v>
      </c>
      <c r="AA17" s="57">
        <v>30.5</v>
      </c>
      <c r="AB17" s="57">
        <v>33.6</v>
      </c>
      <c r="AC17" s="57">
        <v>35</v>
      </c>
      <c r="AD17" s="57">
        <v>33.200000000000003</v>
      </c>
      <c r="AE17" s="57">
        <v>33</v>
      </c>
      <c r="AF17" s="57"/>
      <c r="AG17" s="57"/>
      <c r="AH17" s="57"/>
      <c r="AI17" s="57"/>
      <c r="AJ17" s="37">
        <f t="shared" si="0"/>
        <v>33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34.077777777777776</v>
      </c>
      <c r="AP17" s="23">
        <f>IF(AN17&gt;0,IFERROR(AO17-AN17,""),"")</f>
        <v>1.4037955753306193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>
        <v>25.9</v>
      </c>
      <c r="Z18" s="57">
        <v>28.6</v>
      </c>
      <c r="AA18" s="57">
        <v>26.7</v>
      </c>
      <c r="AB18" s="57">
        <v>27.5</v>
      </c>
      <c r="AC18" s="57">
        <v>28.2</v>
      </c>
      <c r="AD18" s="57">
        <v>27.2</v>
      </c>
      <c r="AE18" s="57">
        <v>28.5</v>
      </c>
      <c r="AF18" s="57"/>
      <c r="AG18" s="57"/>
      <c r="AH18" s="57"/>
      <c r="AI18" s="57"/>
      <c r="AJ18" s="37">
        <f t="shared" si="0"/>
        <v>28.5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27.851851851851862</v>
      </c>
      <c r="AP18" s="23">
        <f t="shared" si="4"/>
        <v>1.7919809978949921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>
        <v>33.700000000000003</v>
      </c>
      <c r="Z19" s="57">
        <v>36.4</v>
      </c>
      <c r="AA19" s="57">
        <v>31.3</v>
      </c>
      <c r="AB19" s="57">
        <v>35.299999999999997</v>
      </c>
      <c r="AC19" s="57">
        <v>34</v>
      </c>
      <c r="AD19" s="57">
        <v>35.799999999999997</v>
      </c>
      <c r="AE19" s="57">
        <v>35.4</v>
      </c>
      <c r="AF19" s="57"/>
      <c r="AG19" s="57"/>
      <c r="AH19" s="57"/>
      <c r="AI19" s="57"/>
      <c r="AJ19" s="37">
        <f t="shared" si="0"/>
        <v>35.4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33.837037037037028</v>
      </c>
      <c r="AP19" s="23">
        <f t="shared" si="4"/>
        <v>0.58607463436738527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>
        <v>31.2</v>
      </c>
      <c r="Z20" s="57">
        <v>28.6</v>
      </c>
      <c r="AA20" s="57">
        <v>27</v>
      </c>
      <c r="AB20" s="57">
        <v>30.3</v>
      </c>
      <c r="AC20" s="57">
        <v>30.6</v>
      </c>
      <c r="AD20" s="57">
        <v>28</v>
      </c>
      <c r="AE20" s="57">
        <v>30.9</v>
      </c>
      <c r="AF20" s="57"/>
      <c r="AG20" s="57"/>
      <c r="AH20" s="57"/>
      <c r="AI20" s="57"/>
      <c r="AJ20" s="37">
        <f t="shared" si="0"/>
        <v>30.9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30.159259259259262</v>
      </c>
      <c r="AP20" s="23">
        <f t="shared" si="4"/>
        <v>1.5184546615581134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>
        <v>24.4</v>
      </c>
      <c r="Z21" s="57">
        <v>25.3</v>
      </c>
      <c r="AA21" s="57">
        <v>23.4</v>
      </c>
      <c r="AB21" s="57">
        <v>23.5</v>
      </c>
      <c r="AC21" s="57">
        <v>23.9</v>
      </c>
      <c r="AD21" s="57">
        <v>23.5</v>
      </c>
      <c r="AE21" s="57">
        <v>24.1</v>
      </c>
      <c r="AF21" s="57"/>
      <c r="AG21" s="57"/>
      <c r="AH21" s="57"/>
      <c r="AI21" s="57"/>
      <c r="AJ21" s="37">
        <f t="shared" si="0"/>
        <v>24.1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24.218518518518515</v>
      </c>
      <c r="AP21" s="23">
        <f t="shared" si="4"/>
        <v>1.6090153668685439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>
        <v>29.2</v>
      </c>
      <c r="Z23" s="57">
        <v>29.9</v>
      </c>
      <c r="AA23" s="57">
        <v>25.8</v>
      </c>
      <c r="AB23" s="57">
        <v>28.2</v>
      </c>
      <c r="AC23" s="57">
        <v>28.8</v>
      </c>
      <c r="AD23" s="57">
        <v>27.8</v>
      </c>
      <c r="AE23" s="57">
        <v>27.6</v>
      </c>
      <c r="AF23" s="57"/>
      <c r="AG23" s="57"/>
      <c r="AH23" s="57"/>
      <c r="AI23" s="57"/>
      <c r="AJ23" s="37">
        <f t="shared" si="0"/>
        <v>27.6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28.525925925925929</v>
      </c>
      <c r="AP23" s="23">
        <f t="shared" si="4"/>
        <v>1.6575388291517292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>
        <v>28.5</v>
      </c>
      <c r="Z24" s="57">
        <v>29.8</v>
      </c>
      <c r="AA24" s="57">
        <v>27.7</v>
      </c>
      <c r="AB24" s="57">
        <v>29.6</v>
      </c>
      <c r="AC24" s="57">
        <v>28.6</v>
      </c>
      <c r="AD24" s="57">
        <v>27.8</v>
      </c>
      <c r="AE24" s="57">
        <v>29.1</v>
      </c>
      <c r="AF24" s="57"/>
      <c r="AG24" s="57"/>
      <c r="AH24" s="57"/>
      <c r="AI24" s="57"/>
      <c r="AJ24" s="37">
        <f t="shared" si="0"/>
        <v>29.1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29.43703703703704</v>
      </c>
      <c r="AP24" s="23">
        <f t="shared" si="4"/>
        <v>1.1852129202935586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>
        <v>32.799999999999997</v>
      </c>
      <c r="Z25" s="57">
        <v>34.1</v>
      </c>
      <c r="AA25" s="57">
        <v>32.200000000000003</v>
      </c>
      <c r="AB25" s="57">
        <v>33.700000000000003</v>
      </c>
      <c r="AC25" s="57">
        <v>32.6</v>
      </c>
      <c r="AD25" s="57">
        <v>31.8</v>
      </c>
      <c r="AE25" s="57">
        <v>33.9</v>
      </c>
      <c r="AF25" s="57"/>
      <c r="AG25" s="57"/>
      <c r="AH25" s="57"/>
      <c r="AI25" s="57"/>
      <c r="AJ25" s="37">
        <f t="shared" si="0"/>
        <v>33.9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32.451851851851856</v>
      </c>
      <c r="AP25" s="23">
        <f t="shared" si="4"/>
        <v>2.075986458630787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>
        <v>20.3</v>
      </c>
      <c r="Z26" s="57">
        <v>20.7</v>
      </c>
      <c r="AA26" s="57">
        <v>19.2</v>
      </c>
      <c r="AB26" s="57">
        <v>20</v>
      </c>
      <c r="AC26" s="57">
        <v>19.8</v>
      </c>
      <c r="AD26" s="57">
        <v>18.2</v>
      </c>
      <c r="AE26" s="57">
        <v>20.2</v>
      </c>
      <c r="AF26" s="57"/>
      <c r="AG26" s="57"/>
      <c r="AH26" s="57"/>
      <c r="AI26" s="57"/>
      <c r="AJ26" s="37">
        <f t="shared" si="0"/>
        <v>20.2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19.681481481481484</v>
      </c>
      <c r="AP26" s="23">
        <f t="shared" si="4"/>
        <v>1.1386098740381243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>
        <v>19.600000000000001</v>
      </c>
      <c r="Z27" s="57">
        <v>21.2</v>
      </c>
      <c r="AA27" s="57">
        <v>18</v>
      </c>
      <c r="AB27" s="57">
        <v>18.899999999999999</v>
      </c>
      <c r="AC27" s="57"/>
      <c r="AD27" s="57">
        <v>21.4</v>
      </c>
      <c r="AE27" s="57">
        <v>20</v>
      </c>
      <c r="AF27" s="57"/>
      <c r="AG27" s="57"/>
      <c r="AH27" s="57"/>
      <c r="AI27" s="57"/>
      <c r="AJ27" s="37">
        <f t="shared" si="0"/>
        <v>20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18.946153846153841</v>
      </c>
      <c r="AP27" s="23">
        <f t="shared" si="4"/>
        <v>2.2641033020454522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>
        <v>32.1</v>
      </c>
      <c r="Z28" s="57">
        <v>33.6</v>
      </c>
      <c r="AA28" s="57">
        <v>30.8</v>
      </c>
      <c r="AB28" s="57">
        <v>33.700000000000003</v>
      </c>
      <c r="AC28" s="57">
        <v>31.4</v>
      </c>
      <c r="AD28" s="57">
        <v>30.8</v>
      </c>
      <c r="AE28" s="57">
        <v>31.1</v>
      </c>
      <c r="AF28" s="57"/>
      <c r="AG28" s="57"/>
      <c r="AH28" s="57"/>
      <c r="AI28" s="57"/>
      <c r="AJ28" s="37">
        <f t="shared" si="0"/>
        <v>31.1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31.903703703703709</v>
      </c>
      <c r="AP28" s="23">
        <f t="shared" si="4"/>
        <v>1.3752511020475495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>
        <v>36.5</v>
      </c>
      <c r="Z30" s="57">
        <v>36</v>
      </c>
      <c r="AA30" s="57">
        <v>34.700000000000003</v>
      </c>
      <c r="AB30" s="57">
        <v>37</v>
      </c>
      <c r="AC30" s="57">
        <v>35.299999999999997</v>
      </c>
      <c r="AD30" s="57">
        <v>34.700000000000003</v>
      </c>
      <c r="AE30" s="57">
        <v>37.299999999999997</v>
      </c>
      <c r="AF30" s="57"/>
      <c r="AG30" s="57"/>
      <c r="AH30" s="57"/>
      <c r="AI30" s="57"/>
      <c r="AJ30" s="37">
        <f t="shared" si="0"/>
        <v>37.299999999999997</v>
      </c>
      <c r="AK30" s="21">
        <f t="shared" si="1"/>
        <v>37.299999999999997</v>
      </c>
      <c r="AL30" s="22">
        <v>38.6</v>
      </c>
      <c r="AM30" s="23">
        <f t="shared" si="2"/>
        <v>-1.3000000000000043</v>
      </c>
      <c r="AN30" s="23">
        <v>33.74225089605735</v>
      </c>
      <c r="AO30" s="23">
        <f t="shared" si="5"/>
        <v>34.900000000000006</v>
      </c>
      <c r="AP30" s="23">
        <f t="shared" si="4"/>
        <v>1.1577491039426562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>
        <v>24.9</v>
      </c>
      <c r="Z31" s="57">
        <v>29.1</v>
      </c>
      <c r="AA31" s="57">
        <v>25.3</v>
      </c>
      <c r="AB31" s="57">
        <v>26.2</v>
      </c>
      <c r="AC31" s="57">
        <v>27.6</v>
      </c>
      <c r="AD31" s="57">
        <v>27.2</v>
      </c>
      <c r="AE31" s="57">
        <v>27</v>
      </c>
      <c r="AF31" s="57"/>
      <c r="AG31" s="57"/>
      <c r="AH31" s="57"/>
      <c r="AI31" s="57"/>
      <c r="AJ31" s="37">
        <f t="shared" si="0"/>
        <v>27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27.24074074074074</v>
      </c>
      <c r="AP31" s="23">
        <f t="shared" si="4"/>
        <v>1.8533159036201212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>
        <v>19.600000000000001</v>
      </c>
      <c r="Z32" s="57">
        <v>20</v>
      </c>
      <c r="AA32" s="57">
        <v>16.600000000000001</v>
      </c>
      <c r="AB32" s="57">
        <v>13</v>
      </c>
      <c r="AC32" s="57">
        <v>17.399999999999999</v>
      </c>
      <c r="AD32" s="57">
        <v>16.600000000000001</v>
      </c>
      <c r="AE32" s="57">
        <v>17.8</v>
      </c>
      <c r="AF32" s="57"/>
      <c r="AG32" s="57"/>
      <c r="AH32" s="57"/>
      <c r="AI32" s="57"/>
      <c r="AJ32" s="37">
        <f t="shared" si="0"/>
        <v>17.8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17.770370370370372</v>
      </c>
      <c r="AP32" s="23">
        <f t="shared" si="4"/>
        <v>1.4408325971091216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>
        <v>16.600000000000001</v>
      </c>
      <c r="Z33" s="57">
        <v>16.399999999999999</v>
      </c>
      <c r="AA33" s="57">
        <v>14.8</v>
      </c>
      <c r="AB33" s="57">
        <v>14.2</v>
      </c>
      <c r="AC33" s="57">
        <v>15.2</v>
      </c>
      <c r="AD33" s="57">
        <v>15.6</v>
      </c>
      <c r="AE33" s="57">
        <v>14.6</v>
      </c>
      <c r="AF33" s="57"/>
      <c r="AG33" s="57"/>
      <c r="AH33" s="57"/>
      <c r="AI33" s="57"/>
      <c r="AJ33" s="37">
        <f t="shared" si="0"/>
        <v>14.6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15.648148148148149</v>
      </c>
      <c r="AP33" s="23">
        <f t="shared" si="4"/>
        <v>0.90353561570469942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>
        <v>31.2</v>
      </c>
      <c r="Z35" s="57">
        <v>31</v>
      </c>
      <c r="AA35" s="57">
        <v>29.4</v>
      </c>
      <c r="AB35" s="57">
        <v>33.200000000000003</v>
      </c>
      <c r="AC35" s="57">
        <v>33.4</v>
      </c>
      <c r="AD35" s="57">
        <v>28.2</v>
      </c>
      <c r="AE35" s="57">
        <v>33.799999999999997</v>
      </c>
      <c r="AF35" s="57"/>
      <c r="AG35" s="57"/>
      <c r="AH35" s="57"/>
      <c r="AI35" s="57"/>
      <c r="AJ35" s="37">
        <f t="shared" si="0"/>
        <v>33.799999999999997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31.851851851851848</v>
      </c>
      <c r="AP35" s="23">
        <f t="shared" si="4"/>
        <v>0.77915599931728607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>
        <v>31.6</v>
      </c>
      <c r="Z38" s="57">
        <v>29</v>
      </c>
      <c r="AA38" s="57">
        <v>29.8</v>
      </c>
      <c r="AB38" s="57">
        <v>32.6</v>
      </c>
      <c r="AC38" s="57">
        <v>30.7</v>
      </c>
      <c r="AD38" s="57">
        <v>26.5</v>
      </c>
      <c r="AE38" s="57">
        <v>30.6</v>
      </c>
      <c r="AF38" s="57"/>
      <c r="AG38" s="57"/>
      <c r="AH38" s="57"/>
      <c r="AI38" s="57"/>
      <c r="AJ38" s="37">
        <f t="shared" si="0"/>
        <v>30.6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30.06296296296296</v>
      </c>
      <c r="AP38" s="23">
        <f t="shared" si="4"/>
        <v>3.3936739570378904E-2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>
        <v>33.1</v>
      </c>
      <c r="Z39" s="57">
        <v>32.4</v>
      </c>
      <c r="AA39" s="57">
        <v>31.2</v>
      </c>
      <c r="AB39" s="57">
        <v>32.4</v>
      </c>
      <c r="AC39" s="57">
        <v>33.6</v>
      </c>
      <c r="AD39" s="57">
        <v>29</v>
      </c>
      <c r="AE39" s="57">
        <v>33.4</v>
      </c>
      <c r="AF39" s="57"/>
      <c r="AG39" s="57"/>
      <c r="AH39" s="57"/>
      <c r="AI39" s="57"/>
      <c r="AJ39" s="37">
        <f t="shared" si="0"/>
        <v>33.4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31.5</v>
      </c>
      <c r="AP39" s="23">
        <f t="shared" si="4"/>
        <v>0.65686688913607938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>
        <v>31.3</v>
      </c>
      <c r="Z40" s="57">
        <v>31.4</v>
      </c>
      <c r="AA40" s="57">
        <v>29.8</v>
      </c>
      <c r="AB40" s="57">
        <v>32.200000000000003</v>
      </c>
      <c r="AC40" s="57">
        <v>31.8</v>
      </c>
      <c r="AD40" s="57">
        <v>30.6</v>
      </c>
      <c r="AE40" s="57">
        <v>31.2</v>
      </c>
      <c r="AF40" s="57"/>
      <c r="AG40" s="57"/>
      <c r="AH40" s="57"/>
      <c r="AI40" s="57"/>
      <c r="AJ40" s="37">
        <f t="shared" si="0"/>
        <v>31.2</v>
      </c>
      <c r="AK40" s="21">
        <f t="shared" si="1"/>
        <v>32.200000000000003</v>
      </c>
      <c r="AL40" s="22">
        <v>33.5</v>
      </c>
      <c r="AM40" s="23">
        <f t="shared" si="2"/>
        <v>-1.2999999999999972</v>
      </c>
      <c r="AN40" s="23">
        <v>28.947548387096781</v>
      </c>
      <c r="AO40" s="23">
        <f t="shared" si="7"/>
        <v>29.966666666666669</v>
      </c>
      <c r="AP40" s="23">
        <f t="shared" si="4"/>
        <v>1.0191182795698879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>
        <v>32.6</v>
      </c>
      <c r="Z41" s="57">
        <v>32</v>
      </c>
      <c r="AA41" s="57">
        <v>27.2</v>
      </c>
      <c r="AB41" s="57">
        <v>36</v>
      </c>
      <c r="AC41" s="57">
        <v>31.4</v>
      </c>
      <c r="AD41" s="57">
        <v>28.2</v>
      </c>
      <c r="AE41" s="57">
        <v>32.6</v>
      </c>
      <c r="AF41" s="57"/>
      <c r="AG41" s="57"/>
      <c r="AH41" s="57"/>
      <c r="AI41" s="57"/>
      <c r="AJ41" s="37">
        <f t="shared" si="0"/>
        <v>32.6</v>
      </c>
      <c r="AK41" s="21">
        <f t="shared" si="1"/>
        <v>36</v>
      </c>
      <c r="AL41" s="22">
        <v>34.4</v>
      </c>
      <c r="AM41" s="23">
        <f t="shared" si="2"/>
        <v>1.6000000000000014</v>
      </c>
      <c r="AN41" s="23">
        <v>29.366308243727591</v>
      </c>
      <c r="AO41" s="23">
        <f t="shared" si="7"/>
        <v>30.629629629629637</v>
      </c>
      <c r="AP41" s="23">
        <f t="shared" si="4"/>
        <v>1.2633213859020458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>
        <v>33</v>
      </c>
      <c r="Z43" s="57">
        <v>31.2</v>
      </c>
      <c r="AA43" s="57">
        <v>32.4</v>
      </c>
      <c r="AB43" s="57">
        <v>32.4</v>
      </c>
      <c r="AC43" s="57">
        <v>32.6</v>
      </c>
      <c r="AD43" s="57">
        <v>32</v>
      </c>
      <c r="AE43" s="57">
        <v>33.6</v>
      </c>
      <c r="AF43" s="57"/>
      <c r="AG43" s="57"/>
      <c r="AH43" s="57"/>
      <c r="AI43" s="57"/>
      <c r="AJ43" s="37">
        <f t="shared" si="0"/>
        <v>33.6</v>
      </c>
      <c r="AK43" s="21">
        <f t="shared" si="1"/>
        <v>33.6</v>
      </c>
      <c r="AL43" s="22">
        <v>34.200000000000003</v>
      </c>
      <c r="AM43" s="23">
        <f t="shared" si="2"/>
        <v>-0.60000000000000142</v>
      </c>
      <c r="AN43" s="23">
        <v>30.061061827956991</v>
      </c>
      <c r="AO43" s="23">
        <f t="shared" si="7"/>
        <v>31.275000000000002</v>
      </c>
      <c r="AP43" s="23">
        <f t="shared" si="4"/>
        <v>1.2139381720430116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>
        <v>30.4</v>
      </c>
      <c r="Z44" s="29">
        <v>31.2</v>
      </c>
      <c r="AA44" s="29">
        <v>31.1</v>
      </c>
      <c r="AB44" s="29">
        <v>32</v>
      </c>
      <c r="AC44" s="29">
        <v>32</v>
      </c>
      <c r="AD44" s="29">
        <v>32.200000000000003</v>
      </c>
      <c r="AE44" s="57">
        <v>32.299999999999997</v>
      </c>
      <c r="AF44" s="57"/>
      <c r="AG44" s="57"/>
      <c r="AH44" s="57"/>
      <c r="AI44" s="57"/>
      <c r="AJ44" s="37">
        <f t="shared" si="0"/>
        <v>32.299999999999997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31.292307692307688</v>
      </c>
      <c r="AP44" s="23">
        <f t="shared" si="4"/>
        <v>2.249120486947227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>
        <v>31.6</v>
      </c>
      <c r="Z45" s="57">
        <v>30.4</v>
      </c>
      <c r="AA45" s="57">
        <v>30.6</v>
      </c>
      <c r="AB45" s="57">
        <v>33.6</v>
      </c>
      <c r="AC45" s="57">
        <v>33.200000000000003</v>
      </c>
      <c r="AD45" s="57">
        <v>30.2</v>
      </c>
      <c r="AE45" s="57">
        <v>32.799999999999997</v>
      </c>
      <c r="AF45" s="57"/>
      <c r="AG45" s="57"/>
      <c r="AH45" s="57"/>
      <c r="AI45" s="57"/>
      <c r="AJ45" s="37">
        <f t="shared" si="0"/>
        <v>32.799999999999997</v>
      </c>
      <c r="AK45" s="21">
        <f t="shared" si="1"/>
        <v>33.6</v>
      </c>
      <c r="AL45" s="22">
        <v>34.200000000000003</v>
      </c>
      <c r="AM45" s="23">
        <f t="shared" si="2"/>
        <v>-0.60000000000000142</v>
      </c>
      <c r="AN45" s="23">
        <v>29.54581639287883</v>
      </c>
      <c r="AO45" s="23">
        <f t="shared" si="7"/>
        <v>30.688888888888897</v>
      </c>
      <c r="AP45" s="23">
        <f t="shared" si="4"/>
        <v>1.1430724960100669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>
        <v>32.799999999999997</v>
      </c>
      <c r="Z48" s="57">
        <v>32.6</v>
      </c>
      <c r="AA48" s="57">
        <v>33.200000000000003</v>
      </c>
      <c r="AB48" s="57">
        <v>29</v>
      </c>
      <c r="AC48" s="57">
        <v>30.2</v>
      </c>
      <c r="AD48" s="57">
        <v>31.7</v>
      </c>
      <c r="AE48" s="57">
        <v>29.7</v>
      </c>
      <c r="AF48" s="57"/>
      <c r="AG48" s="57"/>
      <c r="AH48" s="57"/>
      <c r="AI48" s="57"/>
      <c r="AJ48" s="37">
        <f t="shared" si="0"/>
        <v>29.7</v>
      </c>
      <c r="AK48" s="21">
        <f t="shared" si="1"/>
        <v>33.200000000000003</v>
      </c>
      <c r="AL48" s="22">
        <v>35.200000000000003</v>
      </c>
      <c r="AM48" s="23">
        <f t="shared" si="2"/>
        <v>-2</v>
      </c>
      <c r="AN48" s="23">
        <v>30.34253285543608</v>
      </c>
      <c r="AO48" s="23">
        <f t="shared" si="7"/>
        <v>30.707407407407413</v>
      </c>
      <c r="AP48" s="23">
        <f t="shared" si="4"/>
        <v>0.36487455197133301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Z3" sqref="Z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2026-07-28T13:32:00Z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