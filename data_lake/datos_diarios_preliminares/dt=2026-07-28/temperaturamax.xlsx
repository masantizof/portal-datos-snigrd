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7AC662A-59F1-4952-AC1E-C3D6CABF8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Temperatura!$AK$1:$AK$288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W280" i="1" s="1"/>
  <c r="AR280" i="1"/>
  <c r="AP280" i="1"/>
  <c r="AQ280" i="1" s="1"/>
  <c r="AV279" i="1" a="1"/>
  <c r="AV279" i="1" s="1"/>
  <c r="AU279" i="1" a="1"/>
  <c r="AU279" i="1" s="1"/>
  <c r="AT279" i="1"/>
  <c r="AR279" i="1"/>
  <c r="AS279" i="1" s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W270" i="1" s="1"/>
  <c r="AT270" i="1"/>
  <c r="AR270" i="1"/>
  <c r="AQ270" i="1"/>
  <c r="AS270" i="1" s="1"/>
  <c r="AP270" i="1"/>
  <c r="AV269" i="1" a="1"/>
  <c r="AV269" i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S267" i="1" s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W260" i="1" s="1"/>
  <c r="AR260" i="1"/>
  <c r="AQ260" i="1"/>
  <c r="AP260" i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W256" i="1" s="1"/>
  <c r="AR256" i="1"/>
  <c r="AQ256" i="1"/>
  <c r="AS256" i="1" s="1"/>
  <c r="AP256" i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W252" i="1" s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Q240" i="1"/>
  <c r="AS240" i="1" s="1"/>
  <c r="AP240" i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W236" i="1" s="1"/>
  <c r="AR236" i="1"/>
  <c r="AQ236" i="1"/>
  <c r="AP236" i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W234" i="1" s="1"/>
  <c r="AR234" i="1"/>
  <c r="AQ234" i="1"/>
  <c r="AP234" i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Q226" i="1"/>
  <c r="AP226" i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W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W220" i="1" s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W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W216" i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S215" i="1" s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W209" i="1" s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Q200" i="1"/>
  <c r="AP200" i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Q194" i="1"/>
  <c r="AP194" i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W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S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/>
  <c r="AU171" i="1" a="1"/>
  <c r="AU171" i="1" s="1"/>
  <c r="AT171" i="1"/>
  <c r="AR171" i="1"/>
  <c r="AS171" i="1" s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S169" i="1" s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W167" i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S163" i="1" s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W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W155" i="1" s="1"/>
  <c r="AT155" i="1"/>
  <c r="AR155" i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S153" i="1" s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W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S149" i="1" s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W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Q144" i="1"/>
  <c r="AP144" i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W139" i="1" s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Q136" i="1"/>
  <c r="AP136" i="1"/>
  <c r="AV135" i="1" a="1"/>
  <c r="AV135" i="1" s="1"/>
  <c r="AU135" i="1" a="1"/>
  <c r="AU135" i="1" s="1"/>
  <c r="AT135" i="1"/>
  <c r="AW135" i="1" s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S133" i="1" s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S129" i="1" s="1"/>
  <c r="AP129" i="1"/>
  <c r="AQ129" i="1" s="1"/>
  <c r="AV128" i="1" a="1"/>
  <c r="AV128" i="1" s="1"/>
  <c r="AU128" i="1" a="1"/>
  <c r="AU128" i="1" s="1"/>
  <c r="AT128" i="1"/>
  <c r="AW128" i="1" s="1"/>
  <c r="AR128" i="1"/>
  <c r="AP128" i="1"/>
  <c r="AQ128" i="1" s="1"/>
  <c r="AW127" i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/>
  <c r="AU121" i="1" a="1"/>
  <c r="AU121" i="1" s="1"/>
  <c r="AW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W115" i="1" s="1"/>
  <c r="AT115" i="1"/>
  <c r="AR115" i="1"/>
  <c r="AP115" i="1"/>
  <c r="AQ115" i="1" s="1"/>
  <c r="AV114" i="1" a="1"/>
  <c r="AV114" i="1"/>
  <c r="AU114" i="1" a="1"/>
  <c r="AU114" i="1"/>
  <c r="AT114" i="1"/>
  <c r="AR114" i="1"/>
  <c r="AP114" i="1"/>
  <c r="AQ114" i="1" s="1"/>
  <c r="AV113" i="1" a="1"/>
  <c r="AV113" i="1" s="1"/>
  <c r="AU113" i="1" a="1"/>
  <c r="AU113" i="1" s="1"/>
  <c r="AT113" i="1"/>
  <c r="AR113" i="1"/>
  <c r="AQ113" i="1"/>
  <c r="AP113" i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S110" i="1" s="1"/>
  <c r="AV109" i="1" a="1"/>
  <c r="AV109" i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/>
  <c r="AW105" i="1" s="1"/>
  <c r="AT105" i="1"/>
  <c r="AR105" i="1"/>
  <c r="AP105" i="1"/>
  <c r="AQ105" i="1" s="1"/>
  <c r="AV104" i="1" a="1"/>
  <c r="AV104" i="1"/>
  <c r="AU104" i="1" a="1"/>
  <c r="AU104" i="1" s="1"/>
  <c r="AT104" i="1"/>
  <c r="AR104" i="1"/>
  <c r="AQ104" i="1"/>
  <c r="AS104" i="1" s="1"/>
  <c r="AP104" i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/>
  <c r="AW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/>
  <c r="AU98" i="1" a="1"/>
  <c r="AU98" i="1"/>
  <c r="AT98" i="1"/>
  <c r="AR98" i="1"/>
  <c r="AP98" i="1"/>
  <c r="AQ98" i="1" s="1"/>
  <c r="AV97" i="1" a="1"/>
  <c r="AV97" i="1"/>
  <c r="AU97" i="1" a="1"/>
  <c r="AU97" i="1"/>
  <c r="AT97" i="1"/>
  <c r="AR97" i="1"/>
  <c r="AP97" i="1"/>
  <c r="AQ97" i="1" s="1"/>
  <c r="AS97" i="1" s="1"/>
  <c r="AV96" i="1" a="1"/>
  <c r="AV96" i="1"/>
  <c r="AU96" i="1" a="1"/>
  <c r="AU96" i="1" s="1"/>
  <c r="AW96" i="1" s="1"/>
  <c r="AT96" i="1"/>
  <c r="AR96" i="1"/>
  <c r="AP96" i="1"/>
  <c r="AQ96" i="1" s="1"/>
  <c r="AV95" i="1" a="1"/>
  <c r="AV95" i="1" s="1"/>
  <c r="AU95" i="1" a="1"/>
  <c r="AU95" i="1" s="1"/>
  <c r="AT95" i="1"/>
  <c r="AR95" i="1"/>
  <c r="AQ95" i="1"/>
  <c r="AP95" i="1"/>
  <c r="AV94" i="1" a="1"/>
  <c r="AV94" i="1" s="1"/>
  <c r="AU94" i="1" a="1"/>
  <c r="AU94" i="1" s="1"/>
  <c r="AT94" i="1"/>
  <c r="AR94" i="1"/>
  <c r="AP94" i="1"/>
  <c r="AQ94" i="1" s="1"/>
  <c r="AV93" i="1" a="1"/>
  <c r="AV93" i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Q92" i="1"/>
  <c r="AS92" i="1" s="1"/>
  <c r="AP92" i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/>
  <c r="AT89" i="1"/>
  <c r="AR89" i="1"/>
  <c r="AP89" i="1"/>
  <c r="AQ89" i="1" s="1"/>
  <c r="AV88" i="1" a="1"/>
  <c r="AV88" i="1"/>
  <c r="AU88" i="1" a="1"/>
  <c r="AU88" i="1"/>
  <c r="AT88" i="1"/>
  <c r="AR88" i="1"/>
  <c r="AP88" i="1"/>
  <c r="AQ88" i="1" s="1"/>
  <c r="AS88" i="1" s="1"/>
  <c r="AV87" i="1" a="1"/>
  <c r="AV87" i="1" s="1"/>
  <c r="AU87" i="1" a="1"/>
  <c r="AU87" i="1" s="1"/>
  <c r="AW87" i="1" s="1"/>
  <c r="AT87" i="1"/>
  <c r="AR87" i="1"/>
  <c r="AP87" i="1"/>
  <c r="AQ87" i="1" s="1"/>
  <c r="AV86" i="1" a="1"/>
  <c r="AV86" i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W82" i="1" s="1"/>
  <c r="AT82" i="1"/>
  <c r="AR82" i="1"/>
  <c r="AP82" i="1"/>
  <c r="AQ82" i="1" s="1"/>
  <c r="AV81" i="1" a="1"/>
  <c r="AV81" i="1"/>
  <c r="AU81" i="1" a="1"/>
  <c r="AU81" i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/>
  <c r="AT79" i="1"/>
  <c r="AR79" i="1"/>
  <c r="AP79" i="1"/>
  <c r="AQ79" i="1" s="1"/>
  <c r="AS79" i="1" s="1"/>
  <c r="AV78" i="1" a="1"/>
  <c r="AV78" i="1"/>
  <c r="AU78" i="1" a="1"/>
  <c r="AU78" i="1" s="1"/>
  <c r="AW78" i="1" s="1"/>
  <c r="AT78" i="1"/>
  <c r="AR78" i="1"/>
  <c r="AP78" i="1"/>
  <c r="AQ78" i="1" s="1"/>
  <c r="AS78" i="1" s="1"/>
  <c r="AV77" i="1" a="1"/>
  <c r="AV77" i="1" s="1"/>
  <c r="AU77" i="1" a="1"/>
  <c r="AU77" i="1" s="1"/>
  <c r="AW77" i="1" s="1"/>
  <c r="AT77" i="1"/>
  <c r="AR77" i="1"/>
  <c r="AP77" i="1"/>
  <c r="AQ77" i="1" s="1"/>
  <c r="AV76" i="1" a="1"/>
  <c r="AV76" i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V73" i="1" a="1"/>
  <c r="AV73" i="1"/>
  <c r="AU73" i="1" a="1"/>
  <c r="AU73" i="1"/>
  <c r="AT73" i="1"/>
  <c r="AR73" i="1"/>
  <c r="AP73" i="1"/>
  <c r="AQ73" i="1" s="1"/>
  <c r="AV72" i="1" a="1"/>
  <c r="AV72" i="1"/>
  <c r="AU72" i="1" a="1"/>
  <c r="AU72" i="1" s="1"/>
  <c r="AT72" i="1"/>
  <c r="AR72" i="1"/>
  <c r="AP72" i="1"/>
  <c r="AQ72" i="1" s="1"/>
  <c r="AV71" i="1" a="1"/>
  <c r="AV71" i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/>
  <c r="AT68" i="1"/>
  <c r="AR68" i="1"/>
  <c r="AQ68" i="1"/>
  <c r="AP68" i="1"/>
  <c r="AV67" i="1" a="1"/>
  <c r="AV67" i="1" s="1"/>
  <c r="AU67" i="1" a="1"/>
  <c r="AU67" i="1"/>
  <c r="AT67" i="1"/>
  <c r="AR67" i="1"/>
  <c r="AQ67" i="1"/>
  <c r="AS67" i="1" s="1"/>
  <c r="AP67" i="1"/>
  <c r="AV66" i="1" a="1"/>
  <c r="AV66" i="1"/>
  <c r="AU66" i="1" a="1"/>
  <c r="AU66" i="1"/>
  <c r="AT66" i="1"/>
  <c r="AR66" i="1"/>
  <c r="AP66" i="1"/>
  <c r="AQ66" i="1" s="1"/>
  <c r="AV65" i="1" a="1"/>
  <c r="AV65" i="1" s="1"/>
  <c r="AU65" i="1" a="1"/>
  <c r="AU65" i="1" s="1"/>
  <c r="AW65" i="1" s="1"/>
  <c r="AT65" i="1"/>
  <c r="AR65" i="1"/>
  <c r="AP65" i="1"/>
  <c r="AQ65" i="1" s="1"/>
  <c r="AS65" i="1" s="1"/>
  <c r="AV64" i="1" a="1"/>
  <c r="AV64" i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W62" i="1" s="1"/>
  <c r="AT62" i="1"/>
  <c r="AR62" i="1"/>
  <c r="AQ62" i="1"/>
  <c r="AS62" i="1" s="1"/>
  <c r="AP62" i="1"/>
  <c r="AV61" i="1" a="1"/>
  <c r="AV61" i="1"/>
  <c r="AU61" i="1" a="1"/>
  <c r="AU61" i="1"/>
  <c r="AT61" i="1"/>
  <c r="AS61" i="1"/>
  <c r="AR61" i="1"/>
  <c r="AQ61" i="1"/>
  <c r="AP61" i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W57" i="1" s="1"/>
  <c r="AT57" i="1"/>
  <c r="AR57" i="1"/>
  <c r="AP57" i="1"/>
  <c r="AQ57" i="1" s="1"/>
  <c r="AV56" i="1" a="1"/>
  <c r="AV56" i="1"/>
  <c r="AU56" i="1" a="1"/>
  <c r="AU56" i="1"/>
  <c r="AW56" i="1" s="1"/>
  <c r="AT56" i="1"/>
  <c r="AR56" i="1"/>
  <c r="AP56" i="1"/>
  <c r="AQ56" i="1" s="1"/>
  <c r="AV55" i="1" a="1"/>
  <c r="AV55" i="1" s="1"/>
  <c r="AU55" i="1" a="1"/>
  <c r="AU55" i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Q53" i="1"/>
  <c r="AP53" i="1"/>
  <c r="AV52" i="1" a="1"/>
  <c r="AV52" i="1"/>
  <c r="AU52" i="1" a="1"/>
  <c r="AU52" i="1" s="1"/>
  <c r="AT52" i="1"/>
  <c r="AR52" i="1"/>
  <c r="AP52" i="1"/>
  <c r="AQ52" i="1" s="1"/>
  <c r="AS52" i="1" s="1"/>
  <c r="AV51" i="1" a="1"/>
  <c r="AV51" i="1"/>
  <c r="AU51" i="1" a="1"/>
  <c r="AU51" i="1"/>
  <c r="AT51" i="1"/>
  <c r="AR51" i="1"/>
  <c r="AS51" i="1" s="1"/>
  <c r="AQ51" i="1"/>
  <c r="AP51" i="1"/>
  <c r="AV50" i="1" a="1"/>
  <c r="AV50" i="1" s="1"/>
  <c r="AU50" i="1" a="1"/>
  <c r="AU50" i="1" s="1"/>
  <c r="AT50" i="1"/>
  <c r="AR50" i="1"/>
  <c r="AP50" i="1"/>
  <c r="AQ50" i="1" s="1"/>
  <c r="AV49" i="1" a="1"/>
  <c r="AV49" i="1"/>
  <c r="AU49" i="1" a="1"/>
  <c r="AU49" i="1"/>
  <c r="AT49" i="1"/>
  <c r="AR49" i="1"/>
  <c r="AP49" i="1"/>
  <c r="AQ49" i="1" s="1"/>
  <c r="AV48" i="1" a="1"/>
  <c r="AV48" i="1"/>
  <c r="AU48" i="1" a="1"/>
  <c r="AU48" i="1" s="1"/>
  <c r="AT48" i="1"/>
  <c r="AR48" i="1"/>
  <c r="AP48" i="1"/>
  <c r="AQ48" i="1" s="1"/>
  <c r="AV47" i="1" a="1"/>
  <c r="AV47" i="1"/>
  <c r="AU47" i="1" a="1"/>
  <c r="AU47" i="1"/>
  <c r="AW47" i="1" s="1"/>
  <c r="AT47" i="1"/>
  <c r="AR47" i="1"/>
  <c r="AP47" i="1"/>
  <c r="AQ47" i="1" s="1"/>
  <c r="AV46" i="1" a="1"/>
  <c r="AV46" i="1" s="1"/>
  <c r="AU46" i="1" a="1"/>
  <c r="AU46" i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/>
  <c r="AU44" i="1" a="1"/>
  <c r="AU44" i="1" s="1"/>
  <c r="AW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/>
  <c r="AU41" i="1" a="1"/>
  <c r="AU41" i="1"/>
  <c r="AT41" i="1"/>
  <c r="AR41" i="1"/>
  <c r="AQ41" i="1"/>
  <c r="AP41" i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/>
  <c r="AU39" i="1" a="1"/>
  <c r="AU39" i="1" s="1"/>
  <c r="AT39" i="1"/>
  <c r="AR39" i="1"/>
  <c r="AQ39" i="1"/>
  <c r="AS39" i="1" s="1"/>
  <c r="AP39" i="1"/>
  <c r="AV38" i="1" a="1"/>
  <c r="AV38" i="1"/>
  <c r="AU38" i="1" a="1"/>
  <c r="AU38" i="1" s="1"/>
  <c r="AT38" i="1"/>
  <c r="AR38" i="1"/>
  <c r="AQ38" i="1"/>
  <c r="AS38" i="1" s="1"/>
  <c r="AP38" i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W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/>
  <c r="AU31" i="1" a="1"/>
  <c r="AU31" i="1"/>
  <c r="AT31" i="1"/>
  <c r="AR31" i="1"/>
  <c r="AP31" i="1"/>
  <c r="AQ31" i="1" s="1"/>
  <c r="AS31" i="1" s="1"/>
  <c r="AV30" i="1" a="1"/>
  <c r="AV30" i="1" s="1"/>
  <c r="AU30" i="1" a="1"/>
  <c r="AU30" i="1"/>
  <c r="AW30" i="1" s="1"/>
  <c r="AT30" i="1"/>
  <c r="AR30" i="1"/>
  <c r="AP30" i="1"/>
  <c r="AQ30" i="1" s="1"/>
  <c r="AV29" i="1" a="1"/>
  <c r="AV29" i="1" s="1"/>
  <c r="AU29" i="1" a="1"/>
  <c r="AU29" i="1"/>
  <c r="AW29" i="1" s="1"/>
  <c r="AT29" i="1"/>
  <c r="AR29" i="1"/>
  <c r="AP29" i="1"/>
  <c r="AQ29" i="1" s="1"/>
  <c r="AV28" i="1" a="1"/>
  <c r="AV28" i="1"/>
  <c r="AU28" i="1" a="1"/>
  <c r="AU28" i="1" s="1"/>
  <c r="AT28" i="1"/>
  <c r="AR28" i="1"/>
  <c r="AQ28" i="1"/>
  <c r="AP28" i="1"/>
  <c r="AV27" i="1" a="1"/>
  <c r="AV27" i="1" s="1"/>
  <c r="AU27" i="1" a="1"/>
  <c r="AU27" i="1"/>
  <c r="AW27" i="1" s="1"/>
  <c r="AT27" i="1"/>
  <c r="AR27" i="1"/>
  <c r="AP27" i="1"/>
  <c r="AQ27" i="1" s="1"/>
  <c r="AS27" i="1" s="1"/>
  <c r="AV26" i="1" a="1"/>
  <c r="AV26" i="1" s="1"/>
  <c r="AU26" i="1" a="1"/>
  <c r="AU26" i="1"/>
  <c r="AT26" i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W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R17" i="1"/>
  <c r="AP17" i="1"/>
  <c r="AQ17" i="1" s="1"/>
  <c r="AV16" i="1" a="1"/>
  <c r="AV16" i="1"/>
  <c r="AU16" i="1" a="1"/>
  <c r="AU16" i="1"/>
  <c r="AT16" i="1"/>
  <c r="AR16" i="1"/>
  <c r="AP16" i="1"/>
  <c r="AQ16" i="1" s="1"/>
  <c r="AV15" i="1" a="1"/>
  <c r="AV15" i="1"/>
  <c r="AU15" i="1" a="1"/>
  <c r="AU15" i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V11" i="1" a="1"/>
  <c r="AV11" i="1"/>
  <c r="AU11" i="1" a="1"/>
  <c r="AU11" i="1" s="1"/>
  <c r="AW11" i="1" s="1"/>
  <c r="AT11" i="1"/>
  <c r="AR11" i="1"/>
  <c r="AP11" i="1"/>
  <c r="AQ11" i="1" s="1"/>
  <c r="AV10" i="1" a="1"/>
  <c r="AV10" i="1"/>
  <c r="AU10" i="1" a="1"/>
  <c r="AU10" i="1"/>
  <c r="AT10" i="1"/>
  <c r="AR10" i="1"/>
  <c r="AP10" i="1"/>
  <c r="AQ10" i="1" s="1"/>
  <c r="AS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/>
  <c r="AT6" i="1"/>
  <c r="AR6" i="1"/>
  <c r="AP6" i="1"/>
  <c r="AQ6" i="1" s="1"/>
  <c r="AV5" i="1" a="1"/>
  <c r="AV5" i="1"/>
  <c r="AU5" i="1" a="1"/>
  <c r="AU5" i="1" s="1"/>
  <c r="AW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20" i="1" l="1"/>
  <c r="AS132" i="1"/>
  <c r="AS147" i="1"/>
  <c r="AS158" i="1"/>
  <c r="AS211" i="1"/>
  <c r="AS271" i="1"/>
  <c r="AW63" i="1"/>
  <c r="AW75" i="1"/>
  <c r="AW97" i="1"/>
  <c r="AS42" i="1"/>
  <c r="AS82" i="1"/>
  <c r="AW85" i="1"/>
  <c r="AW124" i="1"/>
  <c r="AS136" i="1"/>
  <c r="AS140" i="1"/>
  <c r="AS166" i="1"/>
  <c r="AW192" i="1"/>
  <c r="AS249" i="1"/>
  <c r="AW35" i="1"/>
  <c r="AS7" i="1"/>
  <c r="AS36" i="1"/>
  <c r="AW48" i="1"/>
  <c r="AS64" i="1"/>
  <c r="AW69" i="1"/>
  <c r="AS86" i="1"/>
  <c r="AS121" i="1"/>
  <c r="AW151" i="1"/>
  <c r="AS170" i="1"/>
  <c r="AS181" i="1"/>
  <c r="AS185" i="1"/>
  <c r="AW226" i="1"/>
  <c r="AS264" i="1"/>
  <c r="AW104" i="1"/>
  <c r="AW39" i="1"/>
  <c r="AS70" i="1"/>
  <c r="AW10" i="1"/>
  <c r="AW36" i="1"/>
  <c r="AW177" i="1"/>
  <c r="AW185" i="1"/>
  <c r="AW264" i="1"/>
  <c r="AW268" i="1"/>
  <c r="AW76" i="1"/>
  <c r="AS24" i="1"/>
  <c r="AW73" i="1"/>
  <c r="AW98" i="1"/>
  <c r="AS141" i="1"/>
  <c r="AW287" i="1"/>
  <c r="AW163" i="1"/>
  <c r="AW174" i="1"/>
  <c r="AS178" i="1"/>
  <c r="AS261" i="1"/>
  <c r="AS265" i="1"/>
  <c r="AS269" i="1"/>
  <c r="AS280" i="1"/>
  <c r="AW70" i="1"/>
  <c r="AW43" i="1"/>
  <c r="AW67" i="1"/>
  <c r="AS11" i="1"/>
  <c r="AW108" i="1"/>
  <c r="AS112" i="1"/>
  <c r="AS130" i="1"/>
  <c r="AS156" i="1"/>
  <c r="AS160" i="1"/>
  <c r="AW171" i="1"/>
  <c r="AW178" i="1"/>
  <c r="AS209" i="1"/>
  <c r="AS224" i="1"/>
  <c r="AW246" i="1"/>
  <c r="AW276" i="1"/>
  <c r="AS284" i="1"/>
  <c r="AS83" i="1"/>
  <c r="AW95" i="1"/>
  <c r="AS18" i="1"/>
  <c r="AW37" i="1"/>
  <c r="AS44" i="1"/>
  <c r="AS47" i="1"/>
  <c r="AS56" i="1"/>
  <c r="AS90" i="1"/>
  <c r="AW102" i="1"/>
  <c r="AW130" i="1"/>
  <c r="AW134" i="1"/>
  <c r="AW145" i="1"/>
  <c r="AS25" i="1"/>
  <c r="AS50" i="1"/>
  <c r="AS68" i="1"/>
  <c r="AS84" i="1"/>
  <c r="AS168" i="1"/>
  <c r="AS217" i="1"/>
  <c r="AS247" i="1"/>
  <c r="AS251" i="1"/>
  <c r="AS262" i="1"/>
  <c r="AS266" i="1"/>
  <c r="AS277" i="1"/>
  <c r="AW284" i="1"/>
  <c r="AW288" i="1"/>
  <c r="AS41" i="1"/>
  <c r="AS81" i="1"/>
  <c r="AS202" i="1"/>
  <c r="AS206" i="1"/>
  <c r="AS281" i="1"/>
  <c r="AW119" i="1"/>
  <c r="AS131" i="1"/>
  <c r="AS135" i="1"/>
  <c r="AS157" i="1"/>
  <c r="AW50" i="1"/>
  <c r="AW123" i="1"/>
  <c r="AS139" i="1"/>
  <c r="AW266" i="1"/>
  <c r="AS20" i="1"/>
  <c r="AW25" i="1"/>
  <c r="AW68" i="1"/>
  <c r="AS233" i="1"/>
  <c r="AW240" i="1"/>
  <c r="AW255" i="1"/>
  <c r="AS259" i="1"/>
  <c r="AW53" i="1"/>
  <c r="AS45" i="1"/>
  <c r="AS72" i="1"/>
  <c r="AS85" i="1"/>
  <c r="AS91" i="1"/>
  <c r="AS100" i="1"/>
  <c r="AW103" i="1"/>
  <c r="AS120" i="1"/>
  <c r="AS180" i="1"/>
  <c r="AW195" i="1"/>
  <c r="AS199" i="1"/>
  <c r="AS263" i="1"/>
  <c r="AS278" i="1"/>
  <c r="AW20" i="1"/>
  <c r="AW26" i="1"/>
  <c r="AS34" i="1"/>
  <c r="AW83" i="1"/>
  <c r="AW111" i="1"/>
  <c r="AW116" i="1"/>
  <c r="AS179" i="1"/>
  <c r="AW258" i="1"/>
  <c r="AW282" i="1"/>
  <c r="AW12" i="1"/>
  <c r="AW15" i="1"/>
  <c r="AW51" i="1"/>
  <c r="AW61" i="1"/>
  <c r="AW66" i="1"/>
  <c r="AW129" i="1"/>
  <c r="AW136" i="1"/>
  <c r="AW182" i="1"/>
  <c r="AS186" i="1"/>
  <c r="AW189" i="1"/>
  <c r="AW248" i="1"/>
  <c r="AS255" i="1"/>
  <c r="AW269" i="1"/>
  <c r="AW286" i="1"/>
  <c r="AS96" i="1"/>
  <c r="AS101" i="1"/>
  <c r="AW106" i="1"/>
  <c r="AS119" i="1"/>
  <c r="AS21" i="1"/>
  <c r="AW34" i="1"/>
  <c r="AS49" i="1"/>
  <c r="AS54" i="1"/>
  <c r="AS109" i="1"/>
  <c r="AS114" i="1"/>
  <c r="AS193" i="1"/>
  <c r="AS200" i="1"/>
  <c r="AW210" i="1"/>
  <c r="AS93" i="1"/>
  <c r="AS150" i="1"/>
  <c r="AW156" i="1"/>
  <c r="AW166" i="1"/>
  <c r="AS183" i="1"/>
  <c r="AS214" i="1"/>
  <c r="AS221" i="1"/>
  <c r="AW238" i="1"/>
  <c r="AW88" i="1"/>
  <c r="AW93" i="1"/>
  <c r="AS37" i="1"/>
  <c r="AW49" i="1"/>
  <c r="AW54" i="1"/>
  <c r="AW59" i="1"/>
  <c r="AW71" i="1"/>
  <c r="AS235" i="1"/>
  <c r="AW262" i="1"/>
  <c r="AW81" i="1"/>
  <c r="AW86" i="1"/>
  <c r="AW109" i="1"/>
  <c r="AW114" i="1"/>
  <c r="AS13" i="1"/>
  <c r="AS16" i="1"/>
  <c r="AS57" i="1"/>
  <c r="AW64" i="1"/>
  <c r="AS69" i="1"/>
  <c r="AS74" i="1"/>
  <c r="AS99" i="1"/>
  <c r="AS137" i="1"/>
  <c r="AW140" i="1"/>
  <c r="AW153" i="1"/>
  <c r="AS167" i="1"/>
  <c r="AS197" i="1"/>
  <c r="AS204" i="1"/>
  <c r="AW214" i="1"/>
  <c r="AS218" i="1"/>
  <c r="AS225" i="1"/>
  <c r="AW228" i="1"/>
  <c r="AW235" i="1"/>
  <c r="AW249" i="1"/>
  <c r="AS273" i="1"/>
  <c r="AS107" i="1"/>
  <c r="AS117" i="1"/>
  <c r="AS30" i="1"/>
  <c r="AW32" i="1"/>
  <c r="AS35" i="1"/>
  <c r="AW74" i="1"/>
  <c r="AW79" i="1"/>
  <c r="AS89" i="1"/>
  <c r="AS94" i="1"/>
  <c r="AW99" i="1"/>
  <c r="AS134" i="1"/>
  <c r="AW137" i="1"/>
  <c r="AS154" i="1"/>
  <c r="AW160" i="1"/>
  <c r="AW170" i="1"/>
  <c r="AS187" i="1"/>
  <c r="AW190" i="1"/>
  <c r="AW204" i="1"/>
  <c r="AW242" i="1"/>
  <c r="AW41" i="1"/>
  <c r="AW46" i="1"/>
  <c r="AS8" i="1"/>
  <c r="AS144" i="1"/>
  <c r="AS151" i="1"/>
  <c r="AS174" i="1"/>
  <c r="AS194" i="1"/>
  <c r="AS201" i="1"/>
  <c r="AS229" i="1"/>
  <c r="AS77" i="1"/>
  <c r="AW84" i="1"/>
  <c r="AW107" i="1"/>
  <c r="AW112" i="1"/>
  <c r="AW117" i="1"/>
  <c r="AS22" i="1"/>
  <c r="AW52" i="1"/>
  <c r="AS55" i="1"/>
  <c r="AW89" i="1"/>
  <c r="AW94" i="1"/>
  <c r="AW157" i="1"/>
  <c r="AW180" i="1"/>
  <c r="AS222" i="1"/>
  <c r="AW232" i="1"/>
  <c r="AS236" i="1"/>
  <c r="AS243" i="1"/>
  <c r="AS253" i="1"/>
  <c r="AS260" i="1"/>
  <c r="AS87" i="1"/>
  <c r="AS115" i="1"/>
  <c r="AS124" i="1"/>
  <c r="AS138" i="1"/>
  <c r="AW144" i="1"/>
  <c r="AS184" i="1"/>
  <c r="AW194" i="1"/>
  <c r="AS198" i="1"/>
  <c r="AS205" i="1"/>
  <c r="AW208" i="1"/>
  <c r="AW215" i="1"/>
  <c r="AW229" i="1"/>
  <c r="AS250" i="1"/>
  <c r="AW277" i="1"/>
  <c r="AW164" i="1"/>
  <c r="AS226" i="1"/>
  <c r="AS274" i="1"/>
  <c r="AW40" i="1"/>
  <c r="AW45" i="1"/>
  <c r="AW55" i="1"/>
  <c r="AS105" i="1"/>
  <c r="AS6" i="1"/>
  <c r="AW22" i="1"/>
  <c r="AS33" i="1"/>
  <c r="AW72" i="1"/>
  <c r="AS75" i="1"/>
  <c r="AW184" i="1"/>
  <c r="AS43" i="1"/>
  <c r="AW198" i="1"/>
  <c r="AW250" i="1"/>
  <c r="AW38" i="1"/>
  <c r="AS48" i="1"/>
  <c r="AS53" i="1"/>
  <c r="AW92" i="1"/>
  <c r="AS95" i="1"/>
  <c r="AS113" i="1"/>
  <c r="AS145" i="1"/>
  <c r="AW148" i="1"/>
  <c r="AS155" i="1"/>
  <c r="AW161" i="1"/>
  <c r="AS175" i="1"/>
  <c r="AS195" i="1"/>
  <c r="AW212" i="1"/>
  <c r="AS223" i="1"/>
  <c r="AW257" i="1"/>
  <c r="AW274" i="1"/>
  <c r="AS142" i="1"/>
  <c r="AW168" i="1"/>
  <c r="AS230" i="1"/>
  <c r="AW285" i="1"/>
  <c r="AW58" i="1"/>
  <c r="AW80" i="1"/>
  <c r="AW100" i="1"/>
  <c r="AS103" i="1"/>
  <c r="AW113" i="1"/>
  <c r="AW118" i="1"/>
  <c r="AS63" i="1"/>
  <c r="AS12" i="1"/>
  <c r="AS23" i="1"/>
  <c r="AS26" i="1"/>
  <c r="AS73" i="1"/>
  <c r="AS98" i="1"/>
  <c r="AS122" i="1"/>
  <c r="AW142" i="1"/>
  <c r="AW202" i="1"/>
  <c r="AS213" i="1"/>
  <c r="AW230" i="1"/>
  <c r="AW244" i="1"/>
  <c r="AS275" i="1"/>
  <c r="AS66" i="1"/>
  <c r="AS111" i="1"/>
  <c r="AW125" i="1"/>
  <c r="AW132" i="1"/>
  <c r="AW152" i="1"/>
  <c r="AS182" i="1"/>
  <c r="AW206" i="1"/>
  <c r="AS234" i="1"/>
  <c r="AS241" i="1"/>
  <c r="AW254" i="1"/>
  <c r="AW275" i="1"/>
  <c r="AS286" i="1"/>
  <c r="AS9" i="1"/>
  <c r="AS14" i="1"/>
  <c r="AW31" i="1"/>
  <c r="AS29" i="1"/>
  <c r="AW9" i="1"/>
  <c r="AW14" i="1"/>
  <c r="AW19" i="1"/>
  <c r="AW24" i="1"/>
  <c r="AW17" i="1"/>
  <c r="AW7" i="1"/>
  <c r="AS5" i="1"/>
  <c r="AS15" i="1"/>
  <c r="AS28" i="1"/>
  <c r="AW8" i="1"/>
  <c r="AW13" i="1"/>
  <c r="AW18" i="1"/>
  <c r="AW28" i="1"/>
  <c r="AS17" i="1"/>
  <c r="AW23" i="1"/>
  <c r="AW6" i="1"/>
  <c r="AW16" i="1"/>
  <c r="AW133" i="1"/>
  <c r="AW173" i="1"/>
  <c r="AS128" i="1"/>
  <c r="AW141" i="1"/>
  <c r="AP2" i="1"/>
  <c r="AW149" i="1"/>
  <c r="AW201" i="1"/>
  <c r="AW221" i="1"/>
  <c r="AW241" i="1"/>
  <c r="AW261" i="1"/>
  <c r="AW281" i="1"/>
  <c r="AW207" i="1"/>
  <c r="AW227" i="1"/>
  <c r="AW247" i="1"/>
  <c r="AW267" i="1"/>
  <c r="AW193" i="1"/>
  <c r="AW213" i="1"/>
  <c r="AW233" i="1"/>
  <c r="AW253" i="1"/>
  <c r="AW273" i="1"/>
  <c r="AW199" i="1"/>
  <c r="AW219" i="1"/>
  <c r="AW239" i="1"/>
  <c r="AW259" i="1"/>
  <c r="AW279" i="1"/>
  <c r="AS188" i="1"/>
  <c r="AS208" i="1"/>
  <c r="AS228" i="1"/>
  <c r="AS248" i="1"/>
  <c r="AS268" i="1"/>
  <c r="AS288" i="1"/>
  <c r="AW205" i="1"/>
  <c r="AW225" i="1"/>
  <c r="AW245" i="1"/>
  <c r="AW265" i="1"/>
  <c r="AW191" i="1"/>
  <c r="AW211" i="1"/>
  <c r="AW231" i="1"/>
  <c r="AW251" i="1"/>
  <c r="AW271" i="1"/>
  <c r="AS148" i="1"/>
  <c r="AW197" i="1"/>
  <c r="AW217" i="1"/>
  <c r="AW237" i="1"/>
  <c r="AW203" i="1"/>
  <c r="AW223" i="1"/>
  <c r="AW243" i="1"/>
  <c r="AW263" i="1"/>
  <c r="AW283" i="1"/>
  <c r="AS192" i="1"/>
  <c r="AS212" i="1"/>
  <c r="AS232" i="1"/>
  <c r="AS252" i="1"/>
  <c r="AS272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<sst xmlns="http://schemas.openxmlformats.org/spreadsheetml/2006/main" count="3701" uniqueCount="1289">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</sst>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D1" zoomScale="90" zoomScaleNormal="90" workbookViewId="0">
      <selection activeCell="AK1" sqref="AK1:AK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7" width="32.42578125" style="51" customWidth="1"/>
    <col min="14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40.6</v>
      </c>
      <c r="AJ2" s="92">
        <f t="shared" si="0"/>
        <v>38.4</v>
      </c>
      <c r="AK2" s="92">
        <f t="shared" si="0"/>
        <v>38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>
        <v>30.8</v>
      </c>
      <c r="AJ5" s="66">
        <v>31.7</v>
      </c>
      <c r="AK5" s="66">
        <v>31.3</v>
      </c>
      <c r="AL5" s="66"/>
      <c r="AM5" s="66"/>
      <c r="AN5" s="66"/>
      <c r="AO5" s="66"/>
      <c r="AP5" s="67">
        <f t="shared" ref="AP5:AP68" si="1">COUNTIF(K5:AO5,"&gt;0")</f>
        <v>27</v>
      </c>
      <c r="AQ5" s="68">
        <f t="shared" ref="AQ5:AQ68" si="2">IF(AP5&gt;14,AVERAGE(K5:AO5),"")</f>
        <v>31.07407407407408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0.87670229806585098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>
        <v>30.6</v>
      </c>
      <c r="AJ6" s="66">
        <v>30.9</v>
      </c>
      <c r="AK6" s="66">
        <v>31</v>
      </c>
      <c r="AL6" s="66"/>
      <c r="AM6" s="66"/>
      <c r="AN6" s="66"/>
      <c r="AO6" s="66"/>
      <c r="AP6" s="67">
        <f t="shared" si="1"/>
        <v>27</v>
      </c>
      <c r="AQ6" s="68">
        <f t="shared" si="2"/>
        <v>30.637037037037036</v>
      </c>
      <c r="AR6" s="68">
        <f>IFERROR(VLOOKUP(A6,Climatologia_TMAX!A:U,9+$E$2,FALSE),"")</f>
        <v>30.65428039702234</v>
      </c>
      <c r="AS6" s="68">
        <f t="shared" si="3"/>
        <v>-1.7243359985304352E-2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>
        <v>36.6</v>
      </c>
      <c r="AJ7" s="66">
        <v>34.6</v>
      </c>
      <c r="AK7" s="66">
        <v>34.4</v>
      </c>
      <c r="AL7" s="66"/>
      <c r="AM7" s="66"/>
      <c r="AN7" s="66"/>
      <c r="AO7" s="66"/>
      <c r="AP7" s="67">
        <f t="shared" si="1"/>
        <v>27</v>
      </c>
      <c r="AQ7" s="68">
        <f t="shared" si="2"/>
        <v>35.396296296296299</v>
      </c>
      <c r="AR7" s="68">
        <f>IFERROR(VLOOKUP(A7,Climatologia_TMAX!A:U,9+$E$2,FALSE),"")</f>
        <v>33.366016007569073</v>
      </c>
      <c r="AS7" s="68">
        <f t="shared" si="3"/>
        <v>2.0302802887272264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>
        <v>33.4</v>
      </c>
      <c r="AJ8" s="66">
        <v>33</v>
      </c>
      <c r="AK8" s="66">
        <v>32.6</v>
      </c>
      <c r="AL8" s="66"/>
      <c r="AM8" s="66"/>
      <c r="AN8" s="66"/>
      <c r="AO8" s="66"/>
      <c r="AP8" s="67">
        <f t="shared" si="1"/>
        <v>27</v>
      </c>
      <c r="AQ8" s="68">
        <f t="shared" si="2"/>
        <v>33.144444444444446</v>
      </c>
      <c r="AR8" s="68">
        <f>IFERROR(VLOOKUP(A8,Climatologia_TMAX!A:U,9+$E$2,FALSE),"")</f>
        <v>32.249043010752693</v>
      </c>
      <c r="AS8" s="68">
        <f t="shared" si="3"/>
        <v>0.8954014336917524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>
        <v>33.299999999999997</v>
      </c>
      <c r="AJ9" s="66">
        <v>35</v>
      </c>
      <c r="AK9" s="66">
        <v>32.9</v>
      </c>
      <c r="AL9" s="66"/>
      <c r="AM9" s="66"/>
      <c r="AN9" s="66"/>
      <c r="AO9" s="66"/>
      <c r="AP9" s="67">
        <f t="shared" si="1"/>
        <v>27</v>
      </c>
      <c r="AQ9" s="68">
        <f t="shared" si="2"/>
        <v>33.785185185185185</v>
      </c>
      <c r="AR9" s="68">
        <f>IFERROR(VLOOKUP(A9,Climatologia_TMAX!A:U,9+$E$2,FALSE),"")</f>
        <v>33.091246137683846</v>
      </c>
      <c r="AS9" s="68">
        <f t="shared" si="3"/>
        <v>0.69393904750133828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>
        <v>36.299999999999997</v>
      </c>
      <c r="AJ10" s="66">
        <v>36.5</v>
      </c>
      <c r="AK10" s="66">
        <v>35.1</v>
      </c>
      <c r="AL10" s="66"/>
      <c r="AM10" s="66"/>
      <c r="AN10" s="66"/>
      <c r="AO10" s="66"/>
      <c r="AP10" s="67">
        <f t="shared" si="1"/>
        <v>27</v>
      </c>
      <c r="AQ10" s="68">
        <f t="shared" si="2"/>
        <v>35.833333333333329</v>
      </c>
      <c r="AR10" s="68">
        <f>IFERROR(VLOOKUP(A10,Climatologia_TMAX!A:U,9+$E$2,FALSE),"")</f>
        <v>35.380238227660357</v>
      </c>
      <c r="AS10" s="68">
        <f t="shared" si="3"/>
        <v>0.45309510567297195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>
        <v>39.4</v>
      </c>
      <c r="AJ11" s="66">
        <v>38.4</v>
      </c>
      <c r="AK11" s="66">
        <v>37.6</v>
      </c>
      <c r="AL11" s="66"/>
      <c r="AM11" s="66"/>
      <c r="AN11" s="66"/>
      <c r="AO11" s="66"/>
      <c r="AP11" s="67">
        <f t="shared" si="1"/>
        <v>27</v>
      </c>
      <c r="AQ11" s="68">
        <f t="shared" si="2"/>
        <v>38.037037037037031</v>
      </c>
      <c r="AR11" s="68">
        <f>IFERROR(VLOOKUP(A11,Climatologia_TMAX!A:U,9+$E$2,FALSE),"")</f>
        <v>35.537284092848601</v>
      </c>
      <c r="AS11" s="68">
        <f t="shared" si="3"/>
        <v>2.4997529441884296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>
        <v>36</v>
      </c>
      <c r="AJ12" s="66">
        <v>33.299999999999997</v>
      </c>
      <c r="AK12" s="66">
        <v>32.4</v>
      </c>
      <c r="AL12" s="66"/>
      <c r="AM12" s="66"/>
      <c r="AN12" s="66"/>
      <c r="AO12" s="66"/>
      <c r="AP12" s="67">
        <f t="shared" si="1"/>
        <v>27</v>
      </c>
      <c r="AQ12" s="68">
        <f t="shared" si="2"/>
        <v>34.596296296296295</v>
      </c>
      <c r="AR12" s="68">
        <f>IFERROR(VLOOKUP(A12,Climatologia_TMAX!A:U,9+$E$2,FALSE),"")</f>
        <v>33.224936599214232</v>
      </c>
      <c r="AS12" s="68">
        <f t="shared" si="3"/>
        <v>1.3713596970820632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>
        <v>35</v>
      </c>
      <c r="AJ13" s="66">
        <v>33.200000000000003</v>
      </c>
      <c r="AK13" s="66">
        <v>33</v>
      </c>
      <c r="AL13" s="66"/>
      <c r="AM13" s="66"/>
      <c r="AN13" s="66"/>
      <c r="AO13" s="66"/>
      <c r="AP13" s="67">
        <f t="shared" si="1"/>
        <v>27</v>
      </c>
      <c r="AQ13" s="68">
        <f t="shared" si="2"/>
        <v>34.077777777777776</v>
      </c>
      <c r="AR13" s="68">
        <f>IFERROR(VLOOKUP(A13,Climatologia_TMAX!A:U,9+$E$2,FALSE),"")</f>
        <v>32.673982202447156</v>
      </c>
      <c r="AS13" s="68">
        <f t="shared" si="3"/>
        <v>1.4037955753306193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>
        <v>28.2</v>
      </c>
      <c r="AJ14" s="66">
        <v>27.2</v>
      </c>
      <c r="AK14" s="66">
        <v>28.5</v>
      </c>
      <c r="AL14" s="66"/>
      <c r="AM14" s="66"/>
      <c r="AN14" s="66"/>
      <c r="AO14" s="66"/>
      <c r="AP14" s="67">
        <f t="shared" si="1"/>
        <v>27</v>
      </c>
      <c r="AQ14" s="68">
        <f t="shared" si="2"/>
        <v>27.851851851851862</v>
      </c>
      <c r="AR14" s="68">
        <f>IFERROR(VLOOKUP(A14,Climatologia_TMAX!A:U,9+$E$2,FALSE),"")</f>
        <v>26.05987085395687</v>
      </c>
      <c r="AS14" s="68">
        <f t="shared" si="3"/>
        <v>1.7919809978949921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>
        <v>34</v>
      </c>
      <c r="AJ15" s="66">
        <v>35.799999999999997</v>
      </c>
      <c r="AK15" s="66">
        <v>35.4</v>
      </c>
      <c r="AL15" s="66"/>
      <c r="AM15" s="66"/>
      <c r="AN15" s="66"/>
      <c r="AO15" s="66"/>
      <c r="AP15" s="67">
        <f t="shared" si="1"/>
        <v>27</v>
      </c>
      <c r="AQ15" s="68">
        <f t="shared" si="2"/>
        <v>33.837037037037028</v>
      </c>
      <c r="AR15" s="68">
        <f>IFERROR(VLOOKUP(A15,Climatologia_TMAX!A:U,9+$E$2,FALSE),"")</f>
        <v>33.250962402669643</v>
      </c>
      <c r="AS15" s="68">
        <f t="shared" si="3"/>
        <v>0.58607463436738527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>
        <v>33.4</v>
      </c>
      <c r="AJ16" s="66">
        <v>30.4</v>
      </c>
      <c r="AK16" s="66">
        <v>32.1</v>
      </c>
      <c r="AL16" s="66"/>
      <c r="AM16" s="66"/>
      <c r="AN16" s="66"/>
      <c r="AO16" s="66"/>
      <c r="AP16" s="67">
        <f t="shared" si="1"/>
        <v>27</v>
      </c>
      <c r="AQ16" s="68">
        <f t="shared" si="2"/>
        <v>31.74444444444444</v>
      </c>
      <c r="AR16" s="68">
        <f>IFERROR(VLOOKUP(A16,Climatologia_TMAX!A:U,9+$E$2,FALSE),"")</f>
        <v>31.73533745607995</v>
      </c>
      <c r="AS16" s="68">
        <f t="shared" si="3"/>
        <v>9.1069883644898653E-3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>
        <v>30.6</v>
      </c>
      <c r="AJ17" s="66">
        <v>28</v>
      </c>
      <c r="AK17" s="66">
        <v>30.9</v>
      </c>
      <c r="AL17" s="66"/>
      <c r="AM17" s="66"/>
      <c r="AN17" s="66"/>
      <c r="AO17" s="66"/>
      <c r="AP17" s="67">
        <f t="shared" si="1"/>
        <v>27</v>
      </c>
      <c r="AQ17" s="68">
        <f t="shared" si="2"/>
        <v>30.159259259259262</v>
      </c>
      <c r="AR17" s="68">
        <f>IFERROR(VLOOKUP(A17,Climatologia_TMAX!A:U,9+$E$2,FALSE),"")</f>
        <v>28.640804597701148</v>
      </c>
      <c r="AS17" s="68">
        <f t="shared" si="3"/>
        <v>1.5184546615581134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>
        <v>23.9</v>
      </c>
      <c r="AJ18" s="66">
        <v>23.5</v>
      </c>
      <c r="AK18" s="66">
        <v>24.1</v>
      </c>
      <c r="AL18" s="66"/>
      <c r="AM18" s="66"/>
      <c r="AN18" s="66"/>
      <c r="AO18" s="66"/>
      <c r="AP18" s="67">
        <f t="shared" si="1"/>
        <v>27</v>
      </c>
      <c r="AQ18" s="68">
        <f t="shared" si="2"/>
        <v>24.218518518518515</v>
      </c>
      <c r="AR18" s="68">
        <f>IFERROR(VLOOKUP(A18,Climatologia_TMAX!A:U,9+$E$2,FALSE),"")</f>
        <v>22.609503151649971</v>
      </c>
      <c r="AS18" s="68">
        <f t="shared" si="3"/>
        <v>1.6090153668685439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>
        <v>28.8</v>
      </c>
      <c r="AJ19" s="66">
        <v>27.8</v>
      </c>
      <c r="AK19" s="66">
        <v>27.6</v>
      </c>
      <c r="AL19" s="66"/>
      <c r="AM19" s="66"/>
      <c r="AN19" s="66"/>
      <c r="AO19" s="66"/>
      <c r="AP19" s="67">
        <f t="shared" si="1"/>
        <v>27</v>
      </c>
      <c r="AQ19" s="68">
        <f t="shared" si="2"/>
        <v>28.525925925925929</v>
      </c>
      <c r="AR19" s="68">
        <f>IFERROR(VLOOKUP(A19,Climatologia_TMAX!A:U,9+$E$2,FALSE),"")</f>
        <v>26.8683870967742</v>
      </c>
      <c r="AS19" s="68">
        <f t="shared" si="3"/>
        <v>1.6575388291517292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>
        <v>28.6</v>
      </c>
      <c r="AJ20" s="66">
        <v>27.8</v>
      </c>
      <c r="AK20" s="66">
        <v>29.1</v>
      </c>
      <c r="AL20" s="66"/>
      <c r="AM20" s="66"/>
      <c r="AN20" s="66"/>
      <c r="AO20" s="66"/>
      <c r="AP20" s="67">
        <f t="shared" si="1"/>
        <v>27</v>
      </c>
      <c r="AQ20" s="68">
        <f t="shared" si="2"/>
        <v>29.43703703703704</v>
      </c>
      <c r="AR20" s="68">
        <f>IFERROR(VLOOKUP(A20,Climatologia_TMAX!A:U,9+$E$2,FALSE),"")</f>
        <v>28.251824116743482</v>
      </c>
      <c r="AS20" s="68">
        <f t="shared" si="3"/>
        <v>1.1852129202935586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>
        <v>32.6</v>
      </c>
      <c r="AJ21" s="66">
        <v>31.8</v>
      </c>
      <c r="AK21" s="66">
        <v>33.9</v>
      </c>
      <c r="AL21" s="66"/>
      <c r="AM21" s="66"/>
      <c r="AN21" s="66"/>
      <c r="AO21" s="66"/>
      <c r="AP21" s="67">
        <f t="shared" si="1"/>
        <v>27</v>
      </c>
      <c r="AQ21" s="68">
        <f t="shared" si="2"/>
        <v>32.451851851851856</v>
      </c>
      <c r="AR21" s="68">
        <f>IFERROR(VLOOKUP(A21,Climatologia_TMAX!A:U,9+$E$2,FALSE),"")</f>
        <v>30.375865393221069</v>
      </c>
      <c r="AS21" s="68">
        <f t="shared" si="3"/>
        <v>2.075986458630787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>
        <v>19.8</v>
      </c>
      <c r="AJ22" s="66">
        <v>18.2</v>
      </c>
      <c r="AK22" s="66">
        <v>20.2</v>
      </c>
      <c r="AL22" s="66"/>
      <c r="AM22" s="66"/>
      <c r="AN22" s="66"/>
      <c r="AO22" s="66"/>
      <c r="AP22" s="67">
        <f t="shared" si="1"/>
        <v>27</v>
      </c>
      <c r="AQ22" s="68">
        <f t="shared" si="2"/>
        <v>19.681481481481484</v>
      </c>
      <c r="AR22" s="68">
        <f>IFERROR(VLOOKUP(A22,Climatologia_TMAX!A:U,9+$E$2,FALSE),"")</f>
        <v>18.542871607443359</v>
      </c>
      <c r="AS22" s="68">
        <f t="shared" si="3"/>
        <v>1.1386098740381243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>
        <v>31.4</v>
      </c>
      <c r="AJ23" s="66">
        <v>30.8</v>
      </c>
      <c r="AK23" s="66">
        <v>31.1</v>
      </c>
      <c r="AL23" s="66"/>
      <c r="AM23" s="66"/>
      <c r="AN23" s="66"/>
      <c r="AO23" s="66"/>
      <c r="AP23" s="67">
        <f t="shared" si="1"/>
        <v>27</v>
      </c>
      <c r="AQ23" s="68">
        <f t="shared" si="2"/>
        <v>31.903703703703709</v>
      </c>
      <c r="AR23" s="68">
        <f>IFERROR(VLOOKUP(A23,Climatologia_TMAX!A:U,9+$E$2,FALSE),"")</f>
        <v>30.528452601656159</v>
      </c>
      <c r="AS23" s="68">
        <f t="shared" si="3"/>
        <v>1.3752511020475495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>
        <v>35.299999999999997</v>
      </c>
      <c r="AJ24" s="66">
        <v>34.700000000000003</v>
      </c>
      <c r="AK24" s="66">
        <v>37.299999999999997</v>
      </c>
      <c r="AL24" s="66"/>
      <c r="AM24" s="66"/>
      <c r="AN24" s="66"/>
      <c r="AO24" s="66"/>
      <c r="AP24" s="67">
        <f t="shared" si="1"/>
        <v>27</v>
      </c>
      <c r="AQ24" s="68">
        <f t="shared" si="2"/>
        <v>34.900000000000006</v>
      </c>
      <c r="AR24" s="68">
        <f>IFERROR(VLOOKUP(A24,Climatologia_TMAX!A:U,9+$E$2,FALSE),"")</f>
        <v>33.74225089605735</v>
      </c>
      <c r="AS24" s="68">
        <f t="shared" si="3"/>
        <v>1.1577491039426562</v>
      </c>
      <c r="AT24" s="74">
        <f t="shared" si="4"/>
        <v>37.299999999999997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-1.3000000000000043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>
        <v>27.6</v>
      </c>
      <c r="AJ25" s="66">
        <v>27.2</v>
      </c>
      <c r="AK25" s="66">
        <v>27</v>
      </c>
      <c r="AL25" s="66"/>
      <c r="AM25" s="66"/>
      <c r="AN25" s="66"/>
      <c r="AO25" s="66"/>
      <c r="AP25" s="67">
        <f t="shared" si="1"/>
        <v>27</v>
      </c>
      <c r="AQ25" s="68">
        <f t="shared" si="2"/>
        <v>27.24074074074074</v>
      </c>
      <c r="AR25" s="68">
        <f>IFERROR(VLOOKUP(A25,Climatologia_TMAX!A:U,9+$E$2,FALSE),"")</f>
        <v>25.387424837120619</v>
      </c>
      <c r="AS25" s="68">
        <f t="shared" si="3"/>
        <v>1.8533159036201212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>
        <v>15.2</v>
      </c>
      <c r="AJ26" s="66">
        <v>15.6</v>
      </c>
      <c r="AK26" s="66">
        <v>14.6</v>
      </c>
      <c r="AL26" s="66"/>
      <c r="AM26" s="66"/>
      <c r="AN26" s="66"/>
      <c r="AO26" s="66"/>
      <c r="AP26" s="67">
        <f t="shared" si="1"/>
        <v>27</v>
      </c>
      <c r="AQ26" s="68">
        <f t="shared" si="2"/>
        <v>15.648148148148149</v>
      </c>
      <c r="AR26" s="68">
        <f>IFERROR(VLOOKUP(A26,Climatologia_TMAX!A:U,9+$E$2,FALSE),"")</f>
        <v>14.744612532443449</v>
      </c>
      <c r="AS26" s="68">
        <f t="shared" si="3"/>
        <v>0.90353561570469942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>
        <v>33.4</v>
      </c>
      <c r="AJ27" s="66">
        <v>28.2</v>
      </c>
      <c r="AK27" s="66">
        <v>33.799999999999997</v>
      </c>
      <c r="AL27" s="66"/>
      <c r="AM27" s="66"/>
      <c r="AN27" s="66"/>
      <c r="AO27" s="66"/>
      <c r="AP27" s="67">
        <f t="shared" si="1"/>
        <v>27</v>
      </c>
      <c r="AQ27" s="68">
        <f t="shared" si="2"/>
        <v>31.851851851851848</v>
      </c>
      <c r="AR27" s="68">
        <f>IFERROR(VLOOKUP(A27,Climatologia_TMAX!A:U,9+$E$2,FALSE),"")</f>
        <v>31.072695852534562</v>
      </c>
      <c r="AS27" s="68">
        <f t="shared" si="3"/>
        <v>0.77915599931728607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>
        <v>30.7</v>
      </c>
      <c r="AJ28" s="66">
        <v>26.5</v>
      </c>
      <c r="AK28" s="66">
        <v>30.6</v>
      </c>
      <c r="AL28" s="66"/>
      <c r="AM28" s="66"/>
      <c r="AN28" s="66"/>
      <c r="AO28" s="66"/>
      <c r="AP28" s="67">
        <f t="shared" si="1"/>
        <v>27</v>
      </c>
      <c r="AQ28" s="68">
        <f t="shared" si="2"/>
        <v>30.06296296296296</v>
      </c>
      <c r="AR28" s="68">
        <f>IFERROR(VLOOKUP(A28,Climatologia_TMAX!A:U,9+$E$2,FALSE),"")</f>
        <v>30.029026223392581</v>
      </c>
      <c r="AS28" s="68">
        <f t="shared" si="3"/>
        <v>3.3936739570378904E-2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>
        <v>33.6</v>
      </c>
      <c r="AJ29" s="66">
        <v>29</v>
      </c>
      <c r="AK29" s="66">
        <v>33.4</v>
      </c>
      <c r="AL29" s="66"/>
      <c r="AM29" s="66"/>
      <c r="AN29" s="66"/>
      <c r="AO29" s="66"/>
      <c r="AP29" s="67">
        <f t="shared" si="1"/>
        <v>27</v>
      </c>
      <c r="AQ29" s="68">
        <f t="shared" si="2"/>
        <v>31.5</v>
      </c>
      <c r="AR29" s="68">
        <f>IFERROR(VLOOKUP(A29,Climatologia_TMAX!A:U,9+$E$2,FALSE),"")</f>
        <v>30.843133110863921</v>
      </c>
      <c r="AS29" s="68">
        <f t="shared" si="3"/>
        <v>0.65686688913607938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>
        <v>31.8</v>
      </c>
      <c r="AJ30" s="66">
        <v>30.6</v>
      </c>
      <c r="AK30" s="66">
        <v>31.2</v>
      </c>
      <c r="AL30" s="66"/>
      <c r="AM30" s="66"/>
      <c r="AN30" s="66"/>
      <c r="AO30" s="66"/>
      <c r="AP30" s="67">
        <f t="shared" si="1"/>
        <v>27</v>
      </c>
      <c r="AQ30" s="68">
        <f t="shared" si="2"/>
        <v>29.966666666666669</v>
      </c>
      <c r="AR30" s="68">
        <f>IFERROR(VLOOKUP(A30,Climatologia_TMAX!A:U,9+$E$2,FALSE),"")</f>
        <v>28.947548387096781</v>
      </c>
      <c r="AS30" s="68">
        <f t="shared" si="3"/>
        <v>1.0191182795698879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>
        <v>30.2</v>
      </c>
      <c r="AJ31" s="105">
        <v>31.7</v>
      </c>
      <c r="AK31" s="105">
        <v>29.7</v>
      </c>
      <c r="AL31" s="105"/>
      <c r="AM31" s="105"/>
      <c r="AN31" s="105"/>
      <c r="AO31" s="105"/>
      <c r="AP31" s="67">
        <f t="shared" si="1"/>
        <v>27</v>
      </c>
      <c r="AQ31" s="68">
        <f t="shared" si="2"/>
        <v>30.707407407407413</v>
      </c>
      <c r="AR31" s="68">
        <f>IFERROR(VLOOKUP(A31,Climatologia_TMAX!A:U,9+$E$2,FALSE),"")</f>
        <v>30.34253285543608</v>
      </c>
      <c r="AS31" s="68">
        <f t="shared" si="3"/>
        <v>0.36487455197133301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>
        <v>26</v>
      </c>
      <c r="AJ33" s="66">
        <v>25</v>
      </c>
      <c r="AK33" s="66">
        <v>25.6</v>
      </c>
      <c r="AL33" s="66"/>
      <c r="AM33" s="66"/>
      <c r="AN33" s="66"/>
      <c r="AO33" s="66"/>
      <c r="AP33" s="67">
        <f t="shared" si="1"/>
        <v>27</v>
      </c>
      <c r="AQ33" s="68">
        <f t="shared" si="2"/>
        <v>26.022222222222226</v>
      </c>
      <c r="AR33" s="68">
        <f>IFERROR(VLOOKUP(A33,Climatologia_TMAX!A:U,9+$E$2,FALSE),"")</f>
        <v>24.63366101619717</v>
      </c>
      <c r="AS33" s="68">
        <f t="shared" si="3"/>
        <v>1.3885612060250558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>
        <v>36.200000000000003</v>
      </c>
      <c r="AJ36" s="66">
        <v>32</v>
      </c>
      <c r="AK36" s="66">
        <v>36.200000000000003</v>
      </c>
      <c r="AL36" s="66"/>
      <c r="AM36" s="66"/>
      <c r="AN36" s="66"/>
      <c r="AO36" s="66"/>
      <c r="AP36" s="67">
        <f t="shared" si="1"/>
        <v>27</v>
      </c>
      <c r="AQ36" s="68">
        <f t="shared" si="2"/>
        <v>35.540740740740745</v>
      </c>
      <c r="AR36" s="68">
        <f>IFERROR(VLOOKUP(A36,Climatologia_TMAX!A:U,9+$E$2,FALSE),"")</f>
        <v>33.669529909436747</v>
      </c>
      <c r="AS36" s="68">
        <f t="shared" si="3"/>
        <v>1.8712108313039977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>
        <v>27</v>
      </c>
      <c r="AJ38" s="66">
        <v>25</v>
      </c>
      <c r="AK38" s="66">
        <v>27</v>
      </c>
      <c r="AL38" s="66"/>
      <c r="AM38" s="66"/>
      <c r="AN38" s="66"/>
      <c r="AO38" s="66"/>
      <c r="AP38" s="67">
        <f t="shared" si="1"/>
        <v>27</v>
      </c>
      <c r="AQ38" s="68">
        <f t="shared" si="2"/>
        <v>27.422222222222217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>
        <v>25.8</v>
      </c>
      <c r="AJ39" s="66">
        <v>24.4</v>
      </c>
      <c r="AK39" s="66">
        <v>26.4</v>
      </c>
      <c r="AL39" s="66"/>
      <c r="AM39" s="66"/>
      <c r="AN39" s="66"/>
      <c r="AO39" s="66"/>
      <c r="AP39" s="67">
        <f t="shared" si="1"/>
        <v>27</v>
      </c>
      <c r="AQ39" s="68">
        <f t="shared" si="2"/>
        <v>26.311111111111106</v>
      </c>
      <c r="AR39" s="68">
        <f>IFERROR(VLOOKUP(A39,Climatologia_TMAX!A:U,9+$E$2,FALSE),"")</f>
        <v>23.752466703156351</v>
      </c>
      <c r="AS39" s="68">
        <f t="shared" si="3"/>
        <v>2.5586444079547555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>
        <v>21.8</v>
      </c>
      <c r="AJ40" s="66">
        <v>21</v>
      </c>
      <c r="AK40" s="66">
        <v>21.6</v>
      </c>
      <c r="AL40" s="66"/>
      <c r="AM40" s="66"/>
      <c r="AN40" s="66"/>
      <c r="AO40" s="66"/>
      <c r="AP40" s="67">
        <f t="shared" si="1"/>
        <v>27</v>
      </c>
      <c r="AQ40" s="68">
        <f t="shared" si="2"/>
        <v>21.503703703703703</v>
      </c>
      <c r="AR40" s="68">
        <f>IFERROR(VLOOKUP(A40,Climatologia_TMAX!A:U,9+$E$2,FALSE),"")</f>
        <v>20.412982326041281</v>
      </c>
      <c r="AS40" s="68">
        <f t="shared" si="3"/>
        <v>1.0907213776624225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>
        <v>31.2</v>
      </c>
      <c r="AI42" s="66">
        <v>31.8</v>
      </c>
      <c r="AJ42" s="66">
        <v>30</v>
      </c>
      <c r="AK42" s="66">
        <v>32</v>
      </c>
      <c r="AL42" s="66"/>
      <c r="AM42" s="66"/>
      <c r="AN42" s="66"/>
      <c r="AO42" s="66"/>
      <c r="AP42" s="67">
        <f t="shared" si="1"/>
        <v>27</v>
      </c>
      <c r="AQ42" s="68">
        <f t="shared" si="2"/>
        <v>31.881481481481476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>
        <v>33.4</v>
      </c>
      <c r="AJ43" s="66">
        <v>31</v>
      </c>
      <c r="AK43" s="66">
        <v>32.799999999999997</v>
      </c>
      <c r="AL43" s="66"/>
      <c r="AM43" s="66"/>
      <c r="AN43" s="66"/>
      <c r="AO43" s="66"/>
      <c r="AP43" s="67">
        <f t="shared" si="1"/>
        <v>27</v>
      </c>
      <c r="AQ43" s="68">
        <f t="shared" si="2"/>
        <v>32.222222222222221</v>
      </c>
      <c r="AR43" s="68">
        <f>IFERROR(VLOOKUP(A43,Climatologia_TMAX!A:U,9+$E$2,FALSE),"")</f>
        <v>31.60886672633503</v>
      </c>
      <c r="AS43" s="68">
        <f t="shared" si="3"/>
        <v>0.61335549588719118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>
        <v>27.8</v>
      </c>
      <c r="AJ44" s="66">
        <v>26.2</v>
      </c>
      <c r="AK44" s="66">
        <v>26.2</v>
      </c>
      <c r="AL44" s="66"/>
      <c r="AM44" s="66"/>
      <c r="AN44" s="66"/>
      <c r="AO44" s="66"/>
      <c r="AP44" s="67">
        <f t="shared" si="1"/>
        <v>27</v>
      </c>
      <c r="AQ44" s="68">
        <f t="shared" si="2"/>
        <v>27.437037037037037</v>
      </c>
      <c r="AR44" s="68">
        <f>IFERROR(VLOOKUP(A44,Climatologia_TMAX!A:U,9+$E$2,FALSE),"")</f>
        <v>22.96179749103943</v>
      </c>
      <c r="AS44" s="68">
        <f t="shared" si="3"/>
        <v>4.4752395459976064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>
        <v>35.4</v>
      </c>
      <c r="AJ45" s="66">
        <v>35.200000000000003</v>
      </c>
      <c r="AK45" s="66">
        <v>33</v>
      </c>
      <c r="AL45" s="66"/>
      <c r="AM45" s="66"/>
      <c r="AN45" s="66"/>
      <c r="AO45" s="66"/>
      <c r="AP45" s="67">
        <f t="shared" si="1"/>
        <v>27</v>
      </c>
      <c r="AQ45" s="68">
        <f t="shared" si="2"/>
        <v>35.318518518518516</v>
      </c>
      <c r="AR45" s="68">
        <f>IFERROR(VLOOKUP(A45,Climatologia_TMAX!A:U,9+$E$2,FALSE),"")</f>
        <v>33.381792114695337</v>
      </c>
      <c r="AS45" s="68">
        <f t="shared" si="3"/>
        <v>1.9367264038231795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>
        <v>31.8</v>
      </c>
      <c r="AJ46" s="66">
        <v>31.4</v>
      </c>
      <c r="AK46" s="66">
        <v>30.4</v>
      </c>
      <c r="AL46" s="66"/>
      <c r="AM46" s="66"/>
      <c r="AN46" s="66"/>
      <c r="AO46" s="66"/>
      <c r="AP46" s="67">
        <f t="shared" si="1"/>
        <v>27</v>
      </c>
      <c r="AQ46" s="68">
        <f t="shared" si="2"/>
        <v>31.525925925925922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>
        <v>36.6</v>
      </c>
      <c r="AJ49" s="66">
        <v>34.200000000000003</v>
      </c>
      <c r="AK49" s="66">
        <v>33.4</v>
      </c>
      <c r="AL49" s="66"/>
      <c r="AM49" s="66"/>
      <c r="AN49" s="66"/>
      <c r="AO49" s="66"/>
      <c r="AP49" s="67">
        <f t="shared" si="1"/>
        <v>27</v>
      </c>
      <c r="AQ49" s="68">
        <f t="shared" si="2"/>
        <v>34.785185185185185</v>
      </c>
      <c r="AR49" s="68">
        <f>IFERROR(VLOOKUP(A49,Climatologia_TMAX!A:U,9+$E$2,FALSE),"")</f>
        <v>32.8234456183622</v>
      </c>
      <c r="AS49" s="68">
        <f t="shared" si="3"/>
        <v>1.9617395668229847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>
        <v>32.200000000000003</v>
      </c>
      <c r="AJ52" s="66">
        <v>31.2</v>
      </c>
      <c r="AK52" s="66">
        <v>30.8</v>
      </c>
      <c r="AL52" s="66"/>
      <c r="AM52" s="66"/>
      <c r="AN52" s="66"/>
      <c r="AO52" s="66"/>
      <c r="AP52" s="67">
        <f t="shared" si="1"/>
        <v>26</v>
      </c>
      <c r="AQ52" s="68">
        <f t="shared" si="2"/>
        <v>31.800000000000004</v>
      </c>
      <c r="AR52" s="68">
        <f>IFERROR(VLOOKUP(A52,Climatologia_TMAX!A:U,9+$E$2,FALSE),"")</f>
        <v>31.351722385882571</v>
      </c>
      <c r="AS52" s="68">
        <f t="shared" si="3"/>
        <v>0.44827761411743339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>
        <v>35</v>
      </c>
      <c r="AJ53" s="66">
        <v>32</v>
      </c>
      <c r="AK53" s="66">
        <v>33.200000000000003</v>
      </c>
      <c r="AL53" s="66"/>
      <c r="AM53" s="66"/>
      <c r="AN53" s="66"/>
      <c r="AO53" s="66"/>
      <c r="AP53" s="67">
        <f t="shared" si="1"/>
        <v>27</v>
      </c>
      <c r="AQ53" s="68">
        <f t="shared" si="2"/>
        <v>33.866666666666667</v>
      </c>
      <c r="AR53" s="68">
        <f>IFERROR(VLOOKUP(A53,Climatologia_TMAX!A:U,9+$E$2,FALSE),"")</f>
        <v>32.406928995179832</v>
      </c>
      <c r="AS53" s="68">
        <f t="shared" si="3"/>
        <v>1.4597376714868346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>
        <v>38.200000000000003</v>
      </c>
      <c r="AJ54" s="66">
        <v>36.799999999999997</v>
      </c>
      <c r="AK54" s="66">
        <v>32.200000000000003</v>
      </c>
      <c r="AL54" s="66"/>
      <c r="AM54" s="66"/>
      <c r="AN54" s="66"/>
      <c r="AO54" s="66"/>
      <c r="AP54" s="67">
        <f t="shared" si="1"/>
        <v>21</v>
      </c>
      <c r="AQ54" s="68">
        <f t="shared" si="2"/>
        <v>37.466666666666669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>
        <v>36.6</v>
      </c>
      <c r="AJ55" s="66">
        <v>34</v>
      </c>
      <c r="AK55" s="66">
        <v>34.200000000000003</v>
      </c>
      <c r="AL55" s="66"/>
      <c r="AM55" s="66"/>
      <c r="AN55" s="109"/>
      <c r="AO55" s="66"/>
      <c r="AP55" s="67">
        <f t="shared" si="1"/>
        <v>27</v>
      </c>
      <c r="AQ55" s="68">
        <f t="shared" si="2"/>
        <v>35.351851851851855</v>
      </c>
      <c r="AR55" s="68">
        <f>IFERROR(VLOOKUP(A55,Climatologia_TMAX!A:U,9+$E$2,FALSE),"")</f>
        <v>33.028858295246998</v>
      </c>
      <c r="AS55" s="68">
        <f t="shared" si="3"/>
        <v>2.3229935566048567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>
        <v>32.200000000000003</v>
      </c>
      <c r="AJ67" s="66">
        <v>34.6</v>
      </c>
      <c r="AK67" s="66">
        <v>34</v>
      </c>
      <c r="AL67" s="66"/>
      <c r="AM67" s="66"/>
      <c r="AN67" s="66"/>
      <c r="AO67" s="66"/>
      <c r="AP67" s="67">
        <f t="shared" si="1"/>
        <v>27</v>
      </c>
      <c r="AQ67" s="68">
        <f t="shared" si="2"/>
        <v>33.544444444444444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>
        <v>33.200000000000003</v>
      </c>
      <c r="AJ74" s="66">
        <v>33.6</v>
      </c>
      <c r="AK74" s="66">
        <v>34.200000000000003</v>
      </c>
      <c r="AL74" s="66"/>
      <c r="AM74" s="66"/>
      <c r="AN74" s="66"/>
      <c r="AO74" s="66"/>
      <c r="AP74" s="67">
        <f t="shared" si="6"/>
        <v>27</v>
      </c>
      <c r="AQ74" s="68">
        <f t="shared" si="7"/>
        <v>35.559259259259264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>
        <v>35</v>
      </c>
      <c r="AJ76" s="66">
        <v>34</v>
      </c>
      <c r="AK76" s="66">
        <v>33.200000000000003</v>
      </c>
      <c r="AL76" s="66"/>
      <c r="AM76" s="66"/>
      <c r="AN76" s="66"/>
      <c r="AO76" s="66"/>
      <c r="AP76" s="67">
        <f t="shared" si="6"/>
        <v>27</v>
      </c>
      <c r="AQ76" s="68">
        <f t="shared" si="7"/>
        <v>34.266666666666666</v>
      </c>
      <c r="AR76" s="68">
        <f>IFERROR(VLOOKUP(A76,Climatologia_TMAX!A:U,9+$E$2,FALSE),"")</f>
        <v>32.188624146173737</v>
      </c>
      <c r="AS76" s="68">
        <f t="shared" si="8"/>
        <v>2.0780425204929287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>
        <v>31.4</v>
      </c>
      <c r="AJ77" s="66">
        <v>29.4</v>
      </c>
      <c r="AK77" s="66">
        <v>31.6</v>
      </c>
      <c r="AL77" s="66"/>
      <c r="AM77" s="66"/>
      <c r="AN77" s="66"/>
      <c r="AO77" s="66"/>
      <c r="AP77" s="67">
        <f t="shared" si="6"/>
        <v>20</v>
      </c>
      <c r="AQ77" s="68">
        <f t="shared" si="7"/>
        <v>30.55</v>
      </c>
      <c r="AR77" s="68">
        <f>IFERROR(VLOOKUP(A77,Climatologia_TMAX!A:U,9+$E$2,FALSE),"")</f>
        <v>29.74677419354839</v>
      </c>
      <c r="AS77" s="68">
        <f t="shared" si="8"/>
        <v>0.80322580645161068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>
        <v>32.200000000000003</v>
      </c>
      <c r="AI79" s="66">
        <v>32.6</v>
      </c>
      <c r="AJ79" s="66">
        <v>32.799999999999997</v>
      </c>
      <c r="AK79" s="66">
        <v>32.799999999999997</v>
      </c>
      <c r="AL79" s="66"/>
      <c r="AM79" s="66"/>
      <c r="AN79" s="66"/>
      <c r="AO79" s="66"/>
      <c r="AP79" s="67">
        <f t="shared" si="6"/>
        <v>27</v>
      </c>
      <c r="AQ79" s="68">
        <f t="shared" si="7"/>
        <v>30.792592592592595</v>
      </c>
      <c r="AR79" s="68">
        <f>IFERROR(VLOOKUP(A79,Climatologia_TMAX!A:U,9+$E$2,FALSE),"")</f>
        <v>29.544674995207899</v>
      </c>
      <c r="AS79" s="68">
        <f t="shared" si="8"/>
        <v>1.2479175973846957</v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-2.8000000000000043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>
        <v>31.4</v>
      </c>
      <c r="AJ80" s="66">
        <v>31.2</v>
      </c>
      <c r="AK80" s="66">
        <v>31.6</v>
      </c>
      <c r="AL80" s="66"/>
      <c r="AM80" s="66"/>
      <c r="AN80" s="66"/>
      <c r="AO80" s="66"/>
      <c r="AP80" s="67">
        <f t="shared" si="6"/>
        <v>20</v>
      </c>
      <c r="AQ80" s="68">
        <f t="shared" si="7"/>
        <v>30.619999999999997</v>
      </c>
      <c r="AR80" s="68">
        <f>IFERROR(VLOOKUP(A80,Climatologia_TMAX!A:U,9+$E$2,FALSE),"")</f>
        <v>29.810195727942482</v>
      </c>
      <c r="AS80" s="68">
        <f t="shared" si="8"/>
        <v>0.80980427205751582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>
        <v>32.6</v>
      </c>
      <c r="AJ81" s="66">
        <v>32.6</v>
      </c>
      <c r="AK81" s="66">
        <v>31.6</v>
      </c>
      <c r="AL81" s="66"/>
      <c r="AM81" s="66"/>
      <c r="AN81" s="66"/>
      <c r="AO81" s="66"/>
      <c r="AP81" s="67">
        <f t="shared" si="6"/>
        <v>27</v>
      </c>
      <c r="AQ81" s="68">
        <f t="shared" si="7"/>
        <v>30.562962962962963</v>
      </c>
      <c r="AR81" s="68">
        <f>IFERROR(VLOOKUP(A81,Climatologia_TMAX!A:U,9+$E$2,FALSE),"")</f>
        <v>29.131406078560449</v>
      </c>
      <c r="AS81" s="68">
        <f t="shared" si="8"/>
        <v>1.4315568844025144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>
        <v>33.6</v>
      </c>
      <c r="AJ83" s="66">
        <v>31.2</v>
      </c>
      <c r="AK83" s="66">
        <v>31.4</v>
      </c>
      <c r="AL83" s="66"/>
      <c r="AM83" s="66"/>
      <c r="AN83" s="66"/>
      <c r="AO83" s="66"/>
      <c r="AP83" s="67">
        <f t="shared" si="6"/>
        <v>25</v>
      </c>
      <c r="AQ83" s="68">
        <f t="shared" si="7"/>
        <v>30.724</v>
      </c>
      <c r="AR83" s="68">
        <f>IFERROR(VLOOKUP(A83,Climatologia_TMAX!A:U,9+$E$2,FALSE),"")</f>
        <v>29.283968683114491</v>
      </c>
      <c r="AS83" s="68">
        <f t="shared" si="8"/>
        <v>1.4400313168855092</v>
      </c>
      <c r="AT83" s="74">
        <f t="shared" si="9"/>
        <v>33.6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>
        <v>32.200000000000003</v>
      </c>
      <c r="AJ85" s="66">
        <v>31</v>
      </c>
      <c r="AK85" s="66">
        <v>32</v>
      </c>
      <c r="AL85" s="66"/>
      <c r="AM85" s="66"/>
      <c r="AN85" s="66"/>
      <c r="AO85" s="66"/>
      <c r="AP85" s="67">
        <f t="shared" si="6"/>
        <v>27</v>
      </c>
      <c r="AQ85" s="68">
        <f t="shared" si="7"/>
        <v>30.333333333333332</v>
      </c>
      <c r="AR85" s="68">
        <f>IFERROR(VLOOKUP(A85,Climatologia_TMAX!A:U,9+$E$2,FALSE),"")</f>
        <v>29.391449466603099</v>
      </c>
      <c r="AS85" s="68">
        <f t="shared" si="8"/>
        <v>0.94188386673023317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>
        <v>30.4</v>
      </c>
      <c r="AJ86" s="66">
        <v>31.6</v>
      </c>
      <c r="AK86" s="66">
        <v>32.200000000000003</v>
      </c>
      <c r="AL86" s="66"/>
      <c r="AM86" s="66"/>
      <c r="AN86" s="66"/>
      <c r="AO86" s="66"/>
      <c r="AP86" s="67">
        <f t="shared" si="6"/>
        <v>27</v>
      </c>
      <c r="AQ86" s="68">
        <f t="shared" si="7"/>
        <v>30.377777777777776</v>
      </c>
      <c r="AR86" s="68">
        <f>IFERROR(VLOOKUP(A86,Climatologia_TMAX!A:U,9+$E$2,FALSE),"")</f>
        <v>29.45927642223533</v>
      </c>
      <c r="AS86" s="68">
        <f t="shared" si="8"/>
        <v>0.91850135554244616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>
        <v>33.200000000000003</v>
      </c>
      <c r="AJ87" s="66">
        <v>30.2</v>
      </c>
      <c r="AK87" s="66">
        <v>32.799999999999997</v>
      </c>
      <c r="AL87" s="66"/>
      <c r="AM87" s="66"/>
      <c r="AN87" s="66"/>
      <c r="AO87" s="66"/>
      <c r="AP87" s="67">
        <f t="shared" si="6"/>
        <v>27</v>
      </c>
      <c r="AQ87" s="68">
        <f t="shared" si="7"/>
        <v>30.688888888888897</v>
      </c>
      <c r="AR87" s="68">
        <f>IFERROR(VLOOKUP(A87,Climatologia_TMAX!A:U,9+$E$2,FALSE),"")</f>
        <v>29.54581639287883</v>
      </c>
      <c r="AS87" s="68">
        <f t="shared" si="8"/>
        <v>1.1430724960100669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>
        <v>32</v>
      </c>
      <c r="AJ90" s="66">
        <v>32.200000000000003</v>
      </c>
      <c r="AK90" s="66">
        <v>32.299999999999997</v>
      </c>
      <c r="AL90" s="66"/>
      <c r="AM90" s="66"/>
      <c r="AN90" s="66"/>
      <c r="AO90" s="66"/>
      <c r="AP90" s="67">
        <f t="shared" si="6"/>
        <v>27</v>
      </c>
      <c r="AQ90" s="68">
        <f t="shared" si="7"/>
        <v>31.329629629629629</v>
      </c>
      <c r="AR90" s="68">
        <f>IFERROR(VLOOKUP(A90,Climatologia_TMAX!A:U,9+$E$2,FALSE),"")</f>
        <v>29.043187205360461</v>
      </c>
      <c r="AS90" s="68">
        <f t="shared" si="8"/>
        <v>2.2864424242691683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>
        <v>29.4</v>
      </c>
      <c r="AJ91" s="66">
        <v>28.2</v>
      </c>
      <c r="AK91" s="66">
        <v>31.2</v>
      </c>
      <c r="AL91" s="66"/>
      <c r="AM91" s="66"/>
      <c r="AN91" s="66"/>
      <c r="AO91" s="66"/>
      <c r="AP91" s="67">
        <f t="shared" si="6"/>
        <v>27</v>
      </c>
      <c r="AQ91" s="68">
        <f t="shared" si="7"/>
        <v>30.277777777777782</v>
      </c>
      <c r="AR91" s="68">
        <f>IFERROR(VLOOKUP(A91,Climatologia_TMAX!A:U,9+$E$2,FALSE),"")</f>
        <v>30.168933517456878</v>
      </c>
      <c r="AS91" s="68">
        <f t="shared" si="8"/>
        <v>0.10884426032090389</v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-1.3999999999999986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>
        <v>31.8</v>
      </c>
      <c r="AL92" s="66"/>
      <c r="AM92" s="66"/>
      <c r="AN92" s="66"/>
      <c r="AO92" s="66"/>
      <c r="AP92" s="67">
        <f t="shared" si="6"/>
        <v>20</v>
      </c>
      <c r="AQ92" s="68">
        <f t="shared" si="7"/>
        <v>30.879999999999995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>
        <v>32.6</v>
      </c>
      <c r="AJ94" s="66">
        <v>32</v>
      </c>
      <c r="AK94" s="66">
        <v>33.6</v>
      </c>
      <c r="AL94" s="66"/>
      <c r="AM94" s="66"/>
      <c r="AN94" s="66"/>
      <c r="AO94" s="66"/>
      <c r="AP94" s="67">
        <f t="shared" si="6"/>
        <v>27</v>
      </c>
      <c r="AQ94" s="68">
        <f t="shared" si="7"/>
        <v>31.266666666666673</v>
      </c>
      <c r="AR94" s="68">
        <f>IFERROR(VLOOKUP(A94,Climatologia_TMAX!A:U,9+$E$2,FALSE),"")</f>
        <v>30.061061827956991</v>
      </c>
      <c r="AS94" s="68">
        <f t="shared" si="8"/>
        <v>1.2056048387096823</v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-0.60000000000000142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>
        <v>27</v>
      </c>
      <c r="AJ99" s="66">
        <v>26</v>
      </c>
      <c r="AK99" s="66">
        <v>26.2</v>
      </c>
      <c r="AL99" s="66"/>
      <c r="AM99" s="66"/>
      <c r="AN99" s="66"/>
      <c r="AO99" s="66"/>
      <c r="AP99" s="67">
        <f t="shared" si="6"/>
        <v>27</v>
      </c>
      <c r="AQ99" s="68">
        <f t="shared" si="7"/>
        <v>25.125925925925927</v>
      </c>
      <c r="AR99" s="68">
        <f>IFERROR(VLOOKUP(A99,Climatologia_TMAX!A:U,9+$E$2,FALSE),"")</f>
        <v>24.239088972462049</v>
      </c>
      <c r="AS99" s="68">
        <f t="shared" si="8"/>
        <v>0.88683695346387736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>
        <v>39.799999999999997</v>
      </c>
      <c r="AJ100" s="66">
        <v>37.4</v>
      </c>
      <c r="AK100" s="66"/>
      <c r="AL100" s="66"/>
      <c r="AM100" s="66"/>
      <c r="AN100" s="66"/>
      <c r="AO100" s="66"/>
      <c r="AP100" s="67">
        <f t="shared" si="6"/>
        <v>26</v>
      </c>
      <c r="AQ100" s="68">
        <f t="shared" si="7"/>
        <v>37.553846153846145</v>
      </c>
      <c r="AR100" s="68">
        <f>IFERROR(VLOOKUP(A100,Climatologia_TMAX!A:U,9+$E$2,FALSE),"")</f>
        <v>35.854842588404878</v>
      </c>
      <c r="AS100" s="68">
        <f t="shared" si="8"/>
        <v>1.6990035654412665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>
        <v>30.2</v>
      </c>
      <c r="AJ102" s="66">
        <v>27.8</v>
      </c>
      <c r="AK102" s="66">
        <v>30.8</v>
      </c>
      <c r="AL102" s="66"/>
      <c r="AM102" s="66"/>
      <c r="AN102" s="66"/>
      <c r="AO102" s="66"/>
      <c r="AP102" s="67">
        <f t="shared" si="6"/>
        <v>27</v>
      </c>
      <c r="AQ102" s="68">
        <f t="shared" si="7"/>
        <v>28.592592592592595</v>
      </c>
      <c r="AR102" s="68">
        <f>IFERROR(VLOOKUP(A102,Climatologia_TMAX!A:U,9+$E$2,FALSE),"")</f>
        <v>27.486459028550239</v>
      </c>
      <c r="AS102" s="68">
        <f t="shared" si="8"/>
        <v>1.1061335640423557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>
        <v>37.799999999999997</v>
      </c>
      <c r="AJ104" s="66">
        <v>36.4</v>
      </c>
      <c r="AK104" s="66">
        <v>37.200000000000003</v>
      </c>
      <c r="AL104" s="66"/>
      <c r="AM104" s="66"/>
      <c r="AN104" s="66"/>
      <c r="AO104" s="66"/>
      <c r="AP104" s="67">
        <f t="shared" si="6"/>
        <v>25</v>
      </c>
      <c r="AQ104" s="68">
        <f t="shared" si="7"/>
        <v>37.135999999999989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>
        <v>31.4</v>
      </c>
      <c r="AJ105" s="66">
        <v>31.6</v>
      </c>
      <c r="AK105" s="66">
        <v>31.2</v>
      </c>
      <c r="AL105" s="66"/>
      <c r="AM105" s="66"/>
      <c r="AN105" s="66"/>
      <c r="AO105" s="66"/>
      <c r="AP105" s="67">
        <f t="shared" si="6"/>
        <v>26</v>
      </c>
      <c r="AQ105" s="68">
        <f t="shared" si="7"/>
        <v>28.92307692307693</v>
      </c>
      <c r="AR105" s="68">
        <f>IFERROR(VLOOKUP(A105,Climatologia_TMAX!A:U,9+$E$2,FALSE),"")</f>
        <v>28.80830593663741</v>
      </c>
      <c r="AS105" s="68">
        <f t="shared" si="8"/>
        <v>0.11477098643952033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>
        <v>26.8</v>
      </c>
      <c r="AF106" s="66">
        <v>26.6</v>
      </c>
      <c r="AG106" s="66">
        <v>25.2</v>
      </c>
      <c r="AH106" s="66">
        <v>28.2</v>
      </c>
      <c r="AI106" s="66">
        <v>26.8</v>
      </c>
      <c r="AJ106" s="66"/>
      <c r="AK106" s="66"/>
      <c r="AL106" s="66"/>
      <c r="AM106" s="66"/>
      <c r="AN106" s="66"/>
      <c r="AO106" s="66"/>
      <c r="AP106" s="67">
        <f t="shared" si="6"/>
        <v>25</v>
      </c>
      <c r="AQ106" s="68">
        <f t="shared" si="7"/>
        <v>25.535999999999998</v>
      </c>
      <c r="AR106" s="68">
        <f>IFERROR(VLOOKUP(A106,Climatologia_TMAX!A:U,9+$E$2,FALSE),"")</f>
        <v>24.258263255469039</v>
      </c>
      <c r="AS106" s="68">
        <f t="shared" si="8"/>
        <v>1.2777367445309586</v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>
        <v>32</v>
      </c>
      <c r="AJ108" s="66">
        <v>32.4</v>
      </c>
      <c r="AK108" s="66"/>
      <c r="AL108" s="66"/>
      <c r="AM108" s="66"/>
      <c r="AN108" s="66"/>
      <c r="AO108" s="66"/>
      <c r="AP108" s="67">
        <f t="shared" si="6"/>
        <v>25</v>
      </c>
      <c r="AQ108" s="68">
        <f t="shared" si="7"/>
        <v>30.08</v>
      </c>
      <c r="AR108" s="68">
        <f>IFERROR(VLOOKUP(A108,Climatologia_TMAX!A:U,9+$E$2,FALSE),"")</f>
        <v>29.378447243270202</v>
      </c>
      <c r="AS108" s="68">
        <f t="shared" si="8"/>
        <v>0.70155275672979656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>
        <v>27.2</v>
      </c>
      <c r="AJ109" s="66">
        <v>25.2</v>
      </c>
      <c r="AK109" s="66">
        <v>27.8</v>
      </c>
      <c r="AL109" s="66"/>
      <c r="AM109" s="66"/>
      <c r="AN109" s="66"/>
      <c r="AO109" s="66"/>
      <c r="AP109" s="67">
        <f t="shared" si="6"/>
        <v>27</v>
      </c>
      <c r="AQ109" s="68">
        <f t="shared" si="7"/>
        <v>26.229629629629635</v>
      </c>
      <c r="AR109" s="68">
        <f>IFERROR(VLOOKUP(A109,Climatologia_TMAX!A:U,9+$E$2,FALSE),"")</f>
        <v>25.24188769414576</v>
      </c>
      <c r="AS109" s="68">
        <f t="shared" si="8"/>
        <v>0.98774193548387501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>
        <v>38.200000000000003</v>
      </c>
      <c r="AJ111" s="66">
        <v>36.4</v>
      </c>
      <c r="AK111" s="66">
        <v>37.4</v>
      </c>
      <c r="AL111" s="66"/>
      <c r="AM111" s="66"/>
      <c r="AN111" s="66"/>
      <c r="AO111" s="66"/>
      <c r="AP111" s="67">
        <f t="shared" si="6"/>
        <v>24</v>
      </c>
      <c r="AQ111" s="68">
        <f t="shared" si="7"/>
        <v>37.699999999999996</v>
      </c>
      <c r="AR111" s="68">
        <f>IFERROR(VLOOKUP(A111,Climatologia_TMAX!A:U,9+$E$2,FALSE),"")</f>
        <v>35.374911033986344</v>
      </c>
      <c r="AS111" s="68">
        <f t="shared" si="8"/>
        <v>2.3250889660136522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>
        <v>36.4</v>
      </c>
      <c r="AJ112" s="66">
        <v>36.6</v>
      </c>
      <c r="AK112" s="66">
        <v>35.4</v>
      </c>
      <c r="AL112" s="66"/>
      <c r="AM112" s="66"/>
      <c r="AN112" s="66"/>
      <c r="AO112" s="66"/>
      <c r="AP112" s="67">
        <f t="shared" si="6"/>
        <v>27</v>
      </c>
      <c r="AQ112" s="68">
        <f t="shared" si="7"/>
        <v>35.481481481481474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>
        <v>38.6</v>
      </c>
      <c r="AJ114" s="66">
        <v>36</v>
      </c>
      <c r="AK114" s="66">
        <v>35.799999999999997</v>
      </c>
      <c r="AL114" s="66"/>
      <c r="AM114" s="66"/>
      <c r="AN114" s="66"/>
      <c r="AO114" s="66"/>
      <c r="AP114" s="67">
        <f t="shared" si="6"/>
        <v>27</v>
      </c>
      <c r="AQ114" s="68">
        <f t="shared" si="7"/>
        <v>38.092592592592602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>
        <v>37.6</v>
      </c>
      <c r="AJ115" s="66">
        <v>37</v>
      </c>
      <c r="AK115" s="66">
        <v>34.799999999999997</v>
      </c>
      <c r="AL115" s="66"/>
      <c r="AM115" s="66"/>
      <c r="AN115" s="66"/>
      <c r="AO115" s="66"/>
      <c r="AP115" s="67">
        <f t="shared" si="6"/>
        <v>22</v>
      </c>
      <c r="AQ115" s="68">
        <f t="shared" si="7"/>
        <v>36.663636363636364</v>
      </c>
      <c r="AR115" s="68">
        <f>IFERROR(VLOOKUP(A115,Climatologia_TMAX!A:U,9+$E$2,FALSE),"")</f>
        <v>35.904703383898273</v>
      </c>
      <c r="AS115" s="68">
        <f t="shared" si="8"/>
        <v>0.75893297973809126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>
        <v>39</v>
      </c>
      <c r="AJ118" s="66">
        <v>36</v>
      </c>
      <c r="AK118" s="66">
        <v>36.4</v>
      </c>
      <c r="AL118" s="66"/>
      <c r="AM118" s="66"/>
      <c r="AN118" s="66"/>
      <c r="AO118" s="66"/>
      <c r="AP118" s="67">
        <f t="shared" si="6"/>
        <v>27</v>
      </c>
      <c r="AQ118" s="68">
        <f t="shared" si="7"/>
        <v>37.48888888888888</v>
      </c>
      <c r="AR118" s="68">
        <f>IFERROR(VLOOKUP(A118,Climatologia_TMAX!A:U,9+$E$2,FALSE),"")</f>
        <v>34.902965072302557</v>
      </c>
      <c r="AS118" s="68">
        <f t="shared" si="8"/>
        <v>2.5859238165863232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>
        <v>40.6</v>
      </c>
      <c r="AJ119" s="66">
        <v>38.4</v>
      </c>
      <c r="AK119" s="66">
        <v>37.4</v>
      </c>
      <c r="AL119" s="66"/>
      <c r="AM119" s="66"/>
      <c r="AN119" s="66"/>
      <c r="AO119" s="66"/>
      <c r="AP119" s="67">
        <f t="shared" si="6"/>
        <v>27</v>
      </c>
      <c r="AQ119" s="68">
        <f t="shared" si="7"/>
        <v>38.770370370370379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>
        <v>37.200000000000003</v>
      </c>
      <c r="AL120" s="66"/>
      <c r="AM120" s="66"/>
      <c r="AN120" s="66"/>
      <c r="AO120" s="66"/>
      <c r="AP120" s="67">
        <f t="shared" si="6"/>
        <v>21</v>
      </c>
      <c r="AQ120" s="68">
        <f t="shared" si="7"/>
        <v>38.447619047619042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>
        <v>28.2</v>
      </c>
      <c r="AJ122" s="66">
        <v>28.6</v>
      </c>
      <c r="AK122" s="66">
        <v>28.2</v>
      </c>
      <c r="AL122" s="66"/>
      <c r="AM122" s="66"/>
      <c r="AN122" s="66"/>
      <c r="AO122" s="66"/>
      <c r="AP122" s="67">
        <f t="shared" si="6"/>
        <v>27</v>
      </c>
      <c r="AQ122" s="68">
        <f t="shared" si="7"/>
        <v>28.681481481481487</v>
      </c>
      <c r="AR122" s="68">
        <f>IFERROR(VLOOKUP(A122,Climatologia_TMAX!A:U,9+$E$2,FALSE),"")</f>
        <v>27.695483870967738</v>
      </c>
      <c r="AS122" s="68">
        <f t="shared" si="8"/>
        <v>0.98599761051374912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>
        <v>31.4</v>
      </c>
      <c r="AJ123" s="66">
        <v>28.2</v>
      </c>
      <c r="AK123" s="66">
        <v>32.6</v>
      </c>
      <c r="AL123" s="66"/>
      <c r="AM123" s="66"/>
      <c r="AN123" s="66"/>
      <c r="AO123" s="66"/>
      <c r="AP123" s="67">
        <f t="shared" si="6"/>
        <v>27</v>
      </c>
      <c r="AQ123" s="68">
        <f t="shared" si="7"/>
        <v>30.540740740740748</v>
      </c>
      <c r="AR123" s="68">
        <f>IFERROR(VLOOKUP(A123,Climatologia_TMAX!A:U,9+$E$2,FALSE),"")</f>
        <v>29.366308243727591</v>
      </c>
      <c r="AS123" s="68">
        <f t="shared" si="8"/>
        <v>1.1744324970131572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>
        <v>32.200000000000003</v>
      </c>
      <c r="AJ124" s="66">
        <v>29.8</v>
      </c>
      <c r="AK124" s="66">
        <v>32.200000000000003</v>
      </c>
      <c r="AL124" s="66"/>
      <c r="AM124" s="66"/>
      <c r="AN124" s="66"/>
      <c r="AO124" s="66"/>
      <c r="AP124" s="67">
        <f t="shared" si="6"/>
        <v>27</v>
      </c>
      <c r="AQ124" s="68">
        <f t="shared" si="7"/>
        <v>30.596296296296302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>
        <v>24</v>
      </c>
      <c r="AJ127" s="66">
        <v>25</v>
      </c>
      <c r="AK127" s="66">
        <v>27</v>
      </c>
      <c r="AL127" s="66"/>
      <c r="AM127" s="66"/>
      <c r="AN127" s="66"/>
      <c r="AO127" s="66"/>
      <c r="AP127" s="67">
        <f t="shared" si="6"/>
        <v>25</v>
      </c>
      <c r="AQ127" s="68">
        <f t="shared" si="7"/>
        <v>24.584000000000007</v>
      </c>
      <c r="AR127" s="68">
        <f>IFERROR(VLOOKUP(A127,Climatologia_TMAX!A:U,9+$E$2,FALSE),"")</f>
        <v>23.534082478068139</v>
      </c>
      <c r="AS127" s="68">
        <f t="shared" si="8"/>
        <v>1.0499175219318673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>
        <v>21</v>
      </c>
      <c r="AJ128" s="66">
        <v>22</v>
      </c>
      <c r="AK128" s="66">
        <v>21</v>
      </c>
      <c r="AL128" s="66"/>
      <c r="AM128" s="66"/>
      <c r="AN128" s="66"/>
      <c r="AO128" s="66"/>
      <c r="AP128" s="67">
        <f t="shared" si="6"/>
        <v>27</v>
      </c>
      <c r="AQ128" s="68">
        <f t="shared" si="7"/>
        <v>22.081481481481479</v>
      </c>
      <c r="AR128" s="68">
        <f>IFERROR(VLOOKUP(A128,Climatologia_TMAX!A:U,9+$E$2,FALSE),"")</f>
        <v>19.631024170572559</v>
      </c>
      <c r="AS128" s="68">
        <f t="shared" si="8"/>
        <v>2.45045731090892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>
        <v>28.8</v>
      </c>
      <c r="AJ129" s="66">
        <v>25.4</v>
      </c>
      <c r="AK129" s="66">
        <v>25.6</v>
      </c>
      <c r="AL129" s="66"/>
      <c r="AM129" s="66"/>
      <c r="AN129" s="66"/>
      <c r="AO129" s="66"/>
      <c r="AP129" s="67">
        <f t="shared" si="6"/>
        <v>12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>
        <v>21</v>
      </c>
      <c r="AL131" s="66"/>
      <c r="AM131" s="66"/>
      <c r="AN131" s="66"/>
      <c r="AO131" s="66"/>
      <c r="AP131" s="67">
        <f t="shared" si="6"/>
        <v>17</v>
      </c>
      <c r="AQ131" s="68">
        <f t="shared" si="7"/>
        <v>20.729411764705883</v>
      </c>
      <c r="AR131" s="68">
        <f>IFERROR(VLOOKUP(A131,Climatologia_TMAX!A:U,9+$E$2,FALSE),"")</f>
        <v>20.1562724014337</v>
      </c>
      <c r="AS131" s="68">
        <f t="shared" si="8"/>
        <v>0.57313936327218329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>
        <v>18.2</v>
      </c>
      <c r="AJ133" s="66">
        <v>17</v>
      </c>
      <c r="AK133" s="66">
        <v>17.8</v>
      </c>
      <c r="AL133" s="66"/>
      <c r="AM133" s="66"/>
      <c r="AN133" s="66"/>
      <c r="AO133" s="66"/>
      <c r="AP133" s="67">
        <f t="shared" ref="AP133:AP196" si="11">COUNTIF(K133:AO133,"&gt;0")</f>
        <v>25</v>
      </c>
      <c r="AQ133" s="68">
        <f t="shared" ref="AQ133:AQ196" si="12">IF(AP133&gt;14,AVERAGE(K133:AO133),"")</f>
        <v>17.807999999999996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1.9723322567516064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>
        <v>23</v>
      </c>
      <c r="AJ135" s="66">
        <v>23.6</v>
      </c>
      <c r="AK135" s="66">
        <v>24.2</v>
      </c>
      <c r="AL135" s="66"/>
      <c r="AM135" s="66"/>
      <c r="AN135" s="66"/>
      <c r="AO135" s="66"/>
      <c r="AP135" s="67">
        <f t="shared" si="11"/>
        <v>26</v>
      </c>
      <c r="AQ135" s="68">
        <f t="shared" si="12"/>
        <v>22.830769230769231</v>
      </c>
      <c r="AR135" s="68">
        <f>IFERROR(VLOOKUP(A135,Climatologia_TMAX!A:U,9+$E$2,FALSE),"")</f>
        <v>23.062270114942532</v>
      </c>
      <c r="AS135" s="68">
        <f t="shared" si="13"/>
        <v>-0.23150088417330039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>
        <v>21.2</v>
      </c>
      <c r="AJ138" s="66">
        <v>19</v>
      </c>
      <c r="AK138" s="66">
        <v>21.2</v>
      </c>
      <c r="AL138" s="66"/>
      <c r="AM138" s="66"/>
      <c r="AN138" s="66"/>
      <c r="AO138" s="66"/>
      <c r="AP138" s="67">
        <f t="shared" si="11"/>
        <v>25</v>
      </c>
      <c r="AQ138" s="68">
        <f t="shared" si="12"/>
        <v>20.263999999999996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>
        <v>22.8</v>
      </c>
      <c r="AJ139" s="66">
        <v>20.2</v>
      </c>
      <c r="AK139" s="66">
        <v>21.4</v>
      </c>
      <c r="AL139" s="66"/>
      <c r="AM139" s="66"/>
      <c r="AN139" s="66"/>
      <c r="AO139" s="66"/>
      <c r="AP139" s="67">
        <f t="shared" si="11"/>
        <v>27</v>
      </c>
      <c r="AQ139" s="68">
        <f t="shared" si="12"/>
        <v>20.733333333333331</v>
      </c>
      <c r="AR139" s="68">
        <f>IFERROR(VLOOKUP(A139,Climatologia_TMAX!A:U,9+$E$2,FALSE),"")</f>
        <v>20.14919071873231</v>
      </c>
      <c r="AS139" s="68">
        <f t="shared" si="13"/>
        <v>0.58414261460102068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>
        <v>21.6</v>
      </c>
      <c r="AI140" s="66">
        <v>21.4</v>
      </c>
      <c r="AJ140" s="66">
        <v>23</v>
      </c>
      <c r="AK140" s="66">
        <v>24.2</v>
      </c>
      <c r="AL140" s="66"/>
      <c r="AM140" s="66"/>
      <c r="AN140" s="66"/>
      <c r="AO140" s="66"/>
      <c r="AP140" s="67">
        <f t="shared" si="11"/>
        <v>27</v>
      </c>
      <c r="AQ140" s="68">
        <f t="shared" si="12"/>
        <v>23.05925925925926</v>
      </c>
      <c r="AR140" s="68">
        <f>IFERROR(VLOOKUP(A140,Climatologia_TMAX!A:U,9+$E$2,FALSE),"")</f>
        <v>21.34563346802684</v>
      </c>
      <c r="AS140" s="68">
        <f t="shared" si="13"/>
        <v>1.7136257912324204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>
        <v>20.8</v>
      </c>
      <c r="AJ141" s="66">
        <v>17.600000000000001</v>
      </c>
      <c r="AK141" s="66">
        <v>18.8</v>
      </c>
      <c r="AL141" s="66"/>
      <c r="AM141" s="66"/>
      <c r="AN141" s="66"/>
      <c r="AO141" s="66"/>
      <c r="AP141" s="67">
        <f t="shared" si="11"/>
        <v>27</v>
      </c>
      <c r="AQ141" s="68">
        <f t="shared" si="12"/>
        <v>18.970370370370372</v>
      </c>
      <c r="AR141" s="68">
        <f>IFERROR(VLOOKUP(A141,Climatologia_TMAX!A:U,9+$E$2,FALSE),"")</f>
        <v>17.924274193548381</v>
      </c>
      <c r="AS141" s="68">
        <f t="shared" si="13"/>
        <v>1.0460961768219903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>
        <v>20.8</v>
      </c>
      <c r="AJ142" s="66">
        <v>20.6</v>
      </c>
      <c r="AK142" s="66">
        <v>17.399999999999999</v>
      </c>
      <c r="AL142" s="66"/>
      <c r="AM142" s="66"/>
      <c r="AN142" s="66"/>
      <c r="AO142" s="66"/>
      <c r="AP142" s="67">
        <f t="shared" si="11"/>
        <v>27</v>
      </c>
      <c r="AQ142" s="68">
        <f t="shared" si="12"/>
        <v>18.059259259259257</v>
      </c>
      <c r="AR142" s="68">
        <f>IFERROR(VLOOKUP(A142,Climatologia_TMAX!A:U,9+$E$2,FALSE),"")</f>
        <v>17.294555679149671</v>
      </c>
      <c r="AS142" s="68">
        <f t="shared" si="13"/>
        <v>0.76470358010958606</v>
      </c>
      <c r="AT142" s="74">
        <f t="shared" si="14"/>
        <v>20.8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-1.8000000000000007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>
        <v>22.6</v>
      </c>
      <c r="AK146" s="66">
        <v>21.4</v>
      </c>
      <c r="AL146" s="66"/>
      <c r="AM146" s="66"/>
      <c r="AN146" s="66"/>
      <c r="AO146" s="66"/>
      <c r="AP146" s="67">
        <f t="shared" si="11"/>
        <v>22</v>
      </c>
      <c r="AQ146" s="68">
        <f t="shared" si="12"/>
        <v>21.618181818181817</v>
      </c>
      <c r="AR146" s="68">
        <f>IFERROR(VLOOKUP(A146,Climatologia_TMAX!A:U,9+$E$2,FALSE),"")</f>
        <v>20.927355094854001</v>
      </c>
      <c r="AS146" s="68">
        <f t="shared" si="13"/>
        <v>0.69082672332781669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>
        <v>24</v>
      </c>
      <c r="AJ147" s="66">
        <v>20.6</v>
      </c>
      <c r="AK147" s="66">
        <v>22</v>
      </c>
      <c r="AL147" s="66"/>
      <c r="AM147" s="66"/>
      <c r="AN147" s="66"/>
      <c r="AO147" s="66"/>
      <c r="AP147" s="67">
        <f t="shared" si="11"/>
        <v>27</v>
      </c>
      <c r="AQ147" s="68">
        <f t="shared" si="12"/>
        <v>21.392592592592592</v>
      </c>
      <c r="AR147" s="68">
        <f>IFERROR(VLOOKUP(A147,Climatologia_TMAX!A:U,9+$E$2,FALSE),"")</f>
        <v>21.257146953405019</v>
      </c>
      <c r="AS147" s="68">
        <f t="shared" si="13"/>
        <v>0.13544563918757291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>
        <v>27.4</v>
      </c>
      <c r="AJ148" s="66">
        <v>26.2</v>
      </c>
      <c r="AK148" s="66">
        <v>26.4</v>
      </c>
      <c r="AL148" s="66"/>
      <c r="AM148" s="66"/>
      <c r="AN148" s="66"/>
      <c r="AO148" s="66"/>
      <c r="AP148" s="67">
        <f t="shared" si="11"/>
        <v>27</v>
      </c>
      <c r="AQ148" s="68">
        <f t="shared" si="12"/>
        <v>26.074074074074069</v>
      </c>
      <c r="AR148" s="68">
        <f>IFERROR(VLOOKUP(A148,Climatologia_TMAX!A:U,9+$E$2,FALSE),"")</f>
        <v>24.958892473118279</v>
      </c>
      <c r="AS148" s="68">
        <f t="shared" si="13"/>
        <v>1.1151816009557898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>
        <v>33.799999999999997</v>
      </c>
      <c r="AJ151" s="66">
        <v>32.4</v>
      </c>
      <c r="AK151" s="66">
        <v>33.200000000000003</v>
      </c>
      <c r="AL151" s="66"/>
      <c r="AM151" s="66"/>
      <c r="AN151" s="66"/>
      <c r="AO151" s="66"/>
      <c r="AP151" s="67">
        <f t="shared" si="11"/>
        <v>27</v>
      </c>
      <c r="AQ151" s="68">
        <f t="shared" si="12"/>
        <v>32.199999999999996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>
        <v>23.4</v>
      </c>
      <c r="AJ152" s="66">
        <v>22.4</v>
      </c>
      <c r="AK152" s="66">
        <v>23</v>
      </c>
      <c r="AL152" s="66"/>
      <c r="AM152" s="66"/>
      <c r="AN152" s="66"/>
      <c r="AO152" s="66"/>
      <c r="AP152" s="67">
        <f t="shared" si="11"/>
        <v>27</v>
      </c>
      <c r="AQ152" s="68">
        <f t="shared" si="12"/>
        <v>22.648148148148145</v>
      </c>
      <c r="AR152" s="68">
        <f>IFERROR(VLOOKUP(A152,Climatologia_TMAX!A:U,9+$E$2,FALSE),"")</f>
        <v>20.826350237314909</v>
      </c>
      <c r="AS152" s="68">
        <f t="shared" si="13"/>
        <v>1.8217979108332365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>
        <v>21.4</v>
      </c>
      <c r="AK153" s="66">
        <v>20</v>
      </c>
      <c r="AL153" s="66"/>
      <c r="AM153" s="66"/>
      <c r="AN153" s="66"/>
      <c r="AO153" s="66"/>
      <c r="AP153" s="67">
        <f t="shared" si="11"/>
        <v>22</v>
      </c>
      <c r="AQ153" s="68">
        <f t="shared" si="12"/>
        <v>20.036363636363635</v>
      </c>
      <c r="AR153" s="68">
        <f>IFERROR(VLOOKUP(A153,Climatologia_TMAX!A:U,9+$E$2,FALSE),"")</f>
        <v>16.682050544108389</v>
      </c>
      <c r="AS153" s="68">
        <f t="shared" si="13"/>
        <v>3.3543130922552464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>
        <v>20.399999999999999</v>
      </c>
      <c r="AJ154" s="66">
        <v>17.399999999999999</v>
      </c>
      <c r="AK154" s="66">
        <v>18.399999999999999</v>
      </c>
      <c r="AL154" s="66"/>
      <c r="AM154" s="66"/>
      <c r="AN154" s="66"/>
      <c r="AO154" s="66"/>
      <c r="AP154" s="67">
        <f t="shared" si="11"/>
        <v>27</v>
      </c>
      <c r="AQ154" s="68">
        <f t="shared" si="12"/>
        <v>18.503703703703703</v>
      </c>
      <c r="AR154" s="68">
        <f>IFERROR(VLOOKUP(A154,Climatologia_TMAX!A:U,9+$E$2,FALSE),"")</f>
        <v>17.74207636891661</v>
      </c>
      <c r="AS154" s="68">
        <f t="shared" si="13"/>
        <v>0.76162733478709299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>
        <v>22.8</v>
      </c>
      <c r="AJ156" s="66">
        <v>19.399999999999999</v>
      </c>
      <c r="AK156" s="66">
        <v>21</v>
      </c>
      <c r="AL156" s="66"/>
      <c r="AM156" s="66"/>
      <c r="AN156" s="66"/>
      <c r="AO156" s="66"/>
      <c r="AP156" s="67">
        <f t="shared" si="11"/>
        <v>27</v>
      </c>
      <c r="AQ156" s="68">
        <f t="shared" si="12"/>
        <v>20.81481481481481</v>
      </c>
      <c r="AR156" s="68">
        <f>IFERROR(VLOOKUP(A156,Climatologia_TMAX!A:U,9+$E$2,FALSE),"")</f>
        <v>19.979731688407991</v>
      </c>
      <c r="AS156" s="68">
        <f t="shared" si="13"/>
        <v>0.83508312640681837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>
        <v>25.2</v>
      </c>
      <c r="AJ158" s="66">
        <v>22.8</v>
      </c>
      <c r="AK158" s="66">
        <v>22.8</v>
      </c>
      <c r="AL158" s="66"/>
      <c r="AM158" s="66"/>
      <c r="AN158" s="66"/>
      <c r="AO158" s="66"/>
      <c r="AP158" s="67">
        <f t="shared" si="11"/>
        <v>27</v>
      </c>
      <c r="AQ158" s="68">
        <f t="shared" si="12"/>
        <v>22.68888888888889</v>
      </c>
      <c r="AR158" s="68">
        <f>IFERROR(VLOOKUP(A158,Climatologia_TMAX!A:U,9+$E$2,FALSE),"")</f>
        <v>22.235245771655119</v>
      </c>
      <c r="AS158" s="68">
        <f t="shared" si="13"/>
        <v>0.45364311723377071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>
        <v>32.4</v>
      </c>
      <c r="AJ160" s="66"/>
      <c r="AK160" s="66">
        <v>31.6</v>
      </c>
      <c r="AL160" s="66"/>
      <c r="AM160" s="66"/>
      <c r="AN160" s="66"/>
      <c r="AO160" s="66"/>
      <c r="AP160" s="67">
        <f t="shared" si="11"/>
        <v>26</v>
      </c>
      <c r="AQ160" s="68">
        <f t="shared" si="12"/>
        <v>31.400000000000002</v>
      </c>
      <c r="AR160" s="68">
        <f>IFERROR(VLOOKUP(A160,Climatologia_TMAX!A:U,9+$E$2,FALSE),"")</f>
        <v>29.869247988652891</v>
      </c>
      <c r="AS160" s="68">
        <f t="shared" si="13"/>
        <v>1.5307520113471114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>
        <v>17.399999999999999</v>
      </c>
      <c r="AJ164" s="66">
        <v>16.600000000000001</v>
      </c>
      <c r="AK164" s="66">
        <v>17.8</v>
      </c>
      <c r="AL164" s="66"/>
      <c r="AM164" s="66"/>
      <c r="AN164" s="66"/>
      <c r="AO164" s="66"/>
      <c r="AP164" s="67">
        <f t="shared" si="11"/>
        <v>27</v>
      </c>
      <c r="AQ164" s="68">
        <f t="shared" si="12"/>
        <v>17.770370370370372</v>
      </c>
      <c r="AR164" s="68">
        <f>IFERROR(VLOOKUP(A164,Climatologia_TMAX!A:U,9+$E$2,FALSE),"")</f>
        <v>16.329537773261251</v>
      </c>
      <c r="AS164" s="68">
        <f t="shared" si="13"/>
        <v>1.4408325971091216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>
        <v>13</v>
      </c>
      <c r="AJ165" s="66">
        <v>12.8</v>
      </c>
      <c r="AK165" s="66"/>
      <c r="AL165" s="66"/>
      <c r="AM165" s="66"/>
      <c r="AN165" s="66"/>
      <c r="AO165" s="66"/>
      <c r="AP165" s="67">
        <f t="shared" si="11"/>
        <v>26</v>
      </c>
      <c r="AQ165" s="68">
        <f t="shared" si="12"/>
        <v>13.523076923076927</v>
      </c>
      <c r="AR165" s="68">
        <f>IFERROR(VLOOKUP(A165,Climatologia_TMAX!A:U,9+$E$2,FALSE),"")</f>
        <v>12.99240860215054</v>
      </c>
      <c r="AS165" s="68">
        <f t="shared" si="13"/>
        <v>0.53066832092638627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>
        <v>15.2</v>
      </c>
      <c r="AJ166" s="66">
        <v>13.8</v>
      </c>
      <c r="AK166" s="66">
        <v>14.2</v>
      </c>
      <c r="AL166" s="66"/>
      <c r="AM166" s="66"/>
      <c r="AN166" s="66"/>
      <c r="AO166" s="66"/>
      <c r="AP166" s="67">
        <f t="shared" si="11"/>
        <v>27</v>
      </c>
      <c r="AQ166" s="68">
        <f t="shared" si="12"/>
        <v>14.703703703703702</v>
      </c>
      <c r="AR166" s="68">
        <f>IFERROR(VLOOKUP(A166,Climatologia_TMAX!A:U,9+$E$2,FALSE),"")</f>
        <v>14.233020730924361</v>
      </c>
      <c r="AS166" s="68">
        <f t="shared" si="13"/>
        <v>0.47068297277934157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>
        <v>17.2</v>
      </c>
      <c r="AJ167" s="66">
        <v>15.6</v>
      </c>
      <c r="AK167" s="66">
        <v>16.2</v>
      </c>
      <c r="AL167" s="66"/>
      <c r="AM167" s="66"/>
      <c r="AN167" s="66"/>
      <c r="AO167" s="66"/>
      <c r="AP167" s="67">
        <f t="shared" si="11"/>
        <v>27</v>
      </c>
      <c r="AQ167" s="68">
        <f t="shared" si="12"/>
        <v>17.014814814814816</v>
      </c>
      <c r="AR167" s="68">
        <f>IFERROR(VLOOKUP(A167,Climatologia_TMAX!A:U,9+$E$2,FALSE),"")</f>
        <v>15.20642771804062</v>
      </c>
      <c r="AS167" s="68">
        <f t="shared" si="13"/>
        <v>1.8083870967741955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>
        <v>22.4</v>
      </c>
      <c r="AJ168" s="66">
        <v>21.4</v>
      </c>
      <c r="AK168" s="66">
        <v>21.8</v>
      </c>
      <c r="AL168" s="66"/>
      <c r="AM168" s="66"/>
      <c r="AN168" s="66"/>
      <c r="AO168" s="66"/>
      <c r="AP168" s="67">
        <f t="shared" si="11"/>
        <v>27</v>
      </c>
      <c r="AQ168" s="68">
        <f t="shared" si="12"/>
        <v>22.999999999999996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>
        <v>22.8</v>
      </c>
      <c r="AJ172" s="66">
        <v>21.6</v>
      </c>
      <c r="AK172" s="66">
        <v>23.4</v>
      </c>
      <c r="AL172" s="66"/>
      <c r="AM172" s="66"/>
      <c r="AN172" s="66"/>
      <c r="AO172" s="66"/>
      <c r="AP172" s="67">
        <f t="shared" si="11"/>
        <v>27</v>
      </c>
      <c r="AQ172" s="68">
        <f t="shared" si="12"/>
        <v>24.081481481481479</v>
      </c>
      <c r="AR172" s="68">
        <f>IFERROR(VLOOKUP(A172,Climatologia_TMAX!A:U,9+$E$2,FALSE),"")</f>
        <v>21.37397849462366</v>
      </c>
      <c r="AS172" s="68">
        <f t="shared" si="13"/>
        <v>2.7075029868578184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>
        <v>22</v>
      </c>
      <c r="AJ173" s="66">
        <v>19.600000000000001</v>
      </c>
      <c r="AK173" s="66">
        <v>19.2</v>
      </c>
      <c r="AL173" s="66"/>
      <c r="AM173" s="66"/>
      <c r="AN173" s="66"/>
      <c r="AO173" s="66"/>
      <c r="AP173" s="67">
        <f t="shared" si="11"/>
        <v>26</v>
      </c>
      <c r="AQ173" s="68">
        <f t="shared" si="12"/>
        <v>18.865384615384613</v>
      </c>
      <c r="AR173" s="68">
        <f>IFERROR(VLOOKUP(A173,Climatologia_TMAX!A:U,9+$E$2,FALSE),"")</f>
        <v>18.960986089776409</v>
      </c>
      <c r="AS173" s="68">
        <f t="shared" si="13"/>
        <v>-9.5601474391795449E-2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>
        <v>17.600000000000001</v>
      </c>
      <c r="AJ175" s="66">
        <v>17</v>
      </c>
      <c r="AK175" s="66">
        <v>17.600000000000001</v>
      </c>
      <c r="AL175" s="66"/>
      <c r="AM175" s="66"/>
      <c r="AN175" s="66"/>
      <c r="AO175" s="66"/>
      <c r="AP175" s="67">
        <f t="shared" si="11"/>
        <v>27</v>
      </c>
      <c r="AQ175" s="68">
        <f t="shared" si="12"/>
        <v>17.8</v>
      </c>
      <c r="AR175" s="68">
        <f>IFERROR(VLOOKUP(A175,Climatologia_TMAX!A:U,9+$E$2,FALSE),"")</f>
        <v>16.556385496150121</v>
      </c>
      <c r="AS175" s="68">
        <f t="shared" si="13"/>
        <v>1.24361450384988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>
        <v>20.6</v>
      </c>
      <c r="AJ176" s="66">
        <v>18.2</v>
      </c>
      <c r="AK176" s="66"/>
      <c r="AL176" s="66"/>
      <c r="AM176" s="66"/>
      <c r="AN176" s="66"/>
      <c r="AO176" s="66"/>
      <c r="AP176" s="67">
        <f t="shared" si="11"/>
        <v>26</v>
      </c>
      <c r="AQ176" s="68">
        <f t="shared" si="12"/>
        <v>20.123076923076926</v>
      </c>
      <c r="AR176" s="68">
        <f>IFERROR(VLOOKUP(A176,Climatologia_TMAX!A:U,9+$E$2,FALSE),"")</f>
        <v>18.845440860215049</v>
      </c>
      <c r="AS176" s="68">
        <f t="shared" si="13"/>
        <v>1.2776360628618768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>
        <v>22.6</v>
      </c>
      <c r="AI180" s="66">
        <v>25</v>
      </c>
      <c r="AJ180" s="66">
        <v>22.8</v>
      </c>
      <c r="AK180" s="66">
        <v>23.2</v>
      </c>
      <c r="AL180" s="66"/>
      <c r="AM180" s="66"/>
      <c r="AN180" s="66"/>
      <c r="AO180" s="66"/>
      <c r="AP180" s="67">
        <f t="shared" si="11"/>
        <v>25</v>
      </c>
      <c r="AQ180" s="68">
        <f t="shared" si="12"/>
        <v>24.408000000000001</v>
      </c>
      <c r="AR180" s="68">
        <f>IFERROR(VLOOKUP(A180,Climatologia_TMAX!A:U,9+$E$2,FALSE),"")</f>
        <v>21.704538720271199</v>
      </c>
      <c r="AS180" s="68">
        <f t="shared" si="13"/>
        <v>2.7034612797288027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>
        <v>19</v>
      </c>
      <c r="AJ181" s="66">
        <v>19</v>
      </c>
      <c r="AK181" s="66">
        <v>18.899999999999999</v>
      </c>
      <c r="AL181" s="66"/>
      <c r="AM181" s="66"/>
      <c r="AN181" s="66"/>
      <c r="AO181" s="66"/>
      <c r="AP181" s="67">
        <f t="shared" si="11"/>
        <v>27</v>
      </c>
      <c r="AQ181" s="68">
        <f t="shared" si="12"/>
        <v>18.99259259259259</v>
      </c>
      <c r="AR181" s="68">
        <f>IFERROR(VLOOKUP(A181,Climatologia_TMAX!A:U,9+$E$2,FALSE),"")</f>
        <v>17.347963765614409</v>
      </c>
      <c r="AS181" s="68">
        <f t="shared" si="13"/>
        <v>1.644628826978181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>
        <v>28.8</v>
      </c>
      <c r="AJ182" s="66">
        <v>26.6</v>
      </c>
      <c r="AK182" s="66">
        <v>26</v>
      </c>
      <c r="AL182" s="66"/>
      <c r="AM182" s="66"/>
      <c r="AN182" s="66"/>
      <c r="AO182" s="66"/>
      <c r="AP182" s="67">
        <f t="shared" si="11"/>
        <v>27</v>
      </c>
      <c r="AQ182" s="68">
        <f t="shared" si="12"/>
        <v>26.466666666666665</v>
      </c>
      <c r="AR182" s="68">
        <f>IFERROR(VLOOKUP(A182,Climatologia_TMAX!A:U,9+$E$2,FALSE),"")</f>
        <v>24.30997741990134</v>
      </c>
      <c r="AS182" s="68">
        <f t="shared" si="13"/>
        <v>2.1566892467653247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>
        <v>30.4</v>
      </c>
      <c r="AJ183" s="66">
        <v>28.8</v>
      </c>
      <c r="AK183" s="66">
        <v>28</v>
      </c>
      <c r="AL183" s="66"/>
      <c r="AM183" s="66"/>
      <c r="AN183" s="66"/>
      <c r="AO183" s="66"/>
      <c r="AP183" s="67">
        <f t="shared" si="11"/>
        <v>27</v>
      </c>
      <c r="AQ183" s="68">
        <f t="shared" si="12"/>
        <v>29.029629629629628</v>
      </c>
      <c r="AR183" s="68">
        <f>IFERROR(VLOOKUP(A183,Climatologia_TMAX!A:U,9+$E$2,FALSE),"")</f>
        <v>26.548927953153569</v>
      </c>
      <c r="AS183" s="68">
        <f t="shared" si="13"/>
        <v>2.480701676476059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>
        <v>17.399999999999999</v>
      </c>
      <c r="AJ184" s="66">
        <v>13.8</v>
      </c>
      <c r="AK184" s="66">
        <v>13.6</v>
      </c>
      <c r="AL184" s="66"/>
      <c r="AM184" s="66"/>
      <c r="AN184" s="66"/>
      <c r="AO184" s="66"/>
      <c r="AP184" s="67">
        <f t="shared" si="11"/>
        <v>27</v>
      </c>
      <c r="AQ184" s="68">
        <f t="shared" si="12"/>
        <v>16.07407407407408</v>
      </c>
      <c r="AR184" s="68">
        <f>IFERROR(VLOOKUP(A184,Climatologia_TMAX!A:U,9+$E$2,FALSE),"")</f>
        <v>14.413290322580639</v>
      </c>
      <c r="AS184" s="68">
        <f t="shared" si="13"/>
        <v>1.6607837514934403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>
        <v>32.6</v>
      </c>
      <c r="AJ185" s="66">
        <v>29.6</v>
      </c>
      <c r="AK185" s="66">
        <v>30.4</v>
      </c>
      <c r="AL185" s="66"/>
      <c r="AM185" s="66"/>
      <c r="AN185" s="66"/>
      <c r="AO185" s="66"/>
      <c r="AP185" s="67">
        <f t="shared" si="11"/>
        <v>26</v>
      </c>
      <c r="AQ185" s="68">
        <f t="shared" si="12"/>
        <v>30.330769230769235</v>
      </c>
      <c r="AR185" s="68">
        <f>IFERROR(VLOOKUP(A185,Climatologia_TMAX!A:U,9+$E$2,FALSE),"")</f>
        <v>28.305306586427651</v>
      </c>
      <c r="AS185" s="68">
        <f t="shared" si="13"/>
        <v>2.0254626443415837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>
        <v>30.2</v>
      </c>
      <c r="AJ186" s="66">
        <v>27.4</v>
      </c>
      <c r="AK186" s="66">
        <v>28.6</v>
      </c>
      <c r="AL186" s="66"/>
      <c r="AM186" s="66"/>
      <c r="AN186" s="66"/>
      <c r="AO186" s="66"/>
      <c r="AP186" s="67">
        <f t="shared" si="11"/>
        <v>26</v>
      </c>
      <c r="AQ186" s="68">
        <f t="shared" si="12"/>
        <v>29.353846153846156</v>
      </c>
      <c r="AR186" s="68">
        <f>IFERROR(VLOOKUP(A186,Climatologia_TMAX!A:U,9+$E$2,FALSE),"")</f>
        <v>28.17490975422427</v>
      </c>
      <c r="AS186" s="68">
        <f t="shared" si="13"/>
        <v>1.178936399621886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>
        <v>25.8</v>
      </c>
      <c r="AJ187" s="66">
        <v>26</v>
      </c>
      <c r="AK187" s="66">
        <v>25.2</v>
      </c>
      <c r="AL187" s="66"/>
      <c r="AM187" s="66"/>
      <c r="AN187" s="66"/>
      <c r="AO187" s="66"/>
      <c r="AP187" s="67">
        <f t="shared" si="11"/>
        <v>27</v>
      </c>
      <c r="AQ187" s="68">
        <f t="shared" si="12"/>
        <v>25.933333333333341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>
        <v>13.2</v>
      </c>
      <c r="AJ188" s="66">
        <v>13.6</v>
      </c>
      <c r="AK188" s="66">
        <v>13.6</v>
      </c>
      <c r="AL188" s="66"/>
      <c r="AM188" s="66"/>
      <c r="AN188" s="66"/>
      <c r="AO188" s="66"/>
      <c r="AP188" s="67">
        <f t="shared" si="11"/>
        <v>27</v>
      </c>
      <c r="AQ188" s="68">
        <f t="shared" si="12"/>
        <v>12.4</v>
      </c>
      <c r="AR188" s="68">
        <f>IFERROR(VLOOKUP(A188,Climatologia_TMAX!A:U,9+$E$2,FALSE),"")</f>
        <v>12.467666540959829</v>
      </c>
      <c r="AS188" s="68">
        <f t="shared" si="13"/>
        <v>-6.7666540959828936E-2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>
        <v>37.200000000000003</v>
      </c>
      <c r="AI191" s="66">
        <v>34.799999999999997</v>
      </c>
      <c r="AJ191" s="66">
        <v>35.799999999999997</v>
      </c>
      <c r="AK191" s="66">
        <v>35.6</v>
      </c>
      <c r="AL191" s="66"/>
      <c r="AM191" s="66"/>
      <c r="AN191" s="66"/>
      <c r="AO191" s="66"/>
      <c r="AP191" s="67">
        <f t="shared" si="11"/>
        <v>27</v>
      </c>
      <c r="AQ191" s="68">
        <f t="shared" si="12"/>
        <v>35.037037037037031</v>
      </c>
      <c r="AR191" s="68">
        <f>IFERROR(VLOOKUP(A191,Climatologia_TMAX!A:U,9+$E$2,FALSE),"")</f>
        <v>33.566923401480572</v>
      </c>
      <c r="AS191" s="68">
        <f t="shared" si="13"/>
        <v>1.4701136355564586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>
        <v>31.4</v>
      </c>
      <c r="AJ192" s="66">
        <v>31.2</v>
      </c>
      <c r="AK192" s="66">
        <v>30.2</v>
      </c>
      <c r="AL192" s="66"/>
      <c r="AM192" s="66"/>
      <c r="AN192" s="66"/>
      <c r="AO192" s="66"/>
      <c r="AP192" s="67">
        <f t="shared" si="11"/>
        <v>27</v>
      </c>
      <c r="AQ192" s="68">
        <f t="shared" si="12"/>
        <v>31.111111111111111</v>
      </c>
      <c r="AR192" s="68">
        <f>IFERROR(VLOOKUP(A192,Climatologia_TMAX!A:U,9+$E$2,FALSE),"")</f>
        <v>30.282678784775559</v>
      </c>
      <c r="AS192" s="68">
        <f t="shared" si="13"/>
        <v>0.82843232633555175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>
        <v>34.799999999999997</v>
      </c>
      <c r="AJ193" s="66">
        <v>33</v>
      </c>
      <c r="AK193" s="66">
        <v>32.799999999999997</v>
      </c>
      <c r="AL193" s="66"/>
      <c r="AM193" s="66"/>
      <c r="AN193" s="66"/>
      <c r="AO193" s="66"/>
      <c r="AP193" s="67">
        <f t="shared" si="11"/>
        <v>27</v>
      </c>
      <c r="AQ193" s="68">
        <f t="shared" si="12"/>
        <v>34.014814814814812</v>
      </c>
      <c r="AR193" s="68">
        <f>IFERROR(VLOOKUP(A193,Climatologia_TMAX!A:U,9+$E$2,FALSE),"")</f>
        <v>32.385684601765163</v>
      </c>
      <c r="AS193" s="68">
        <f t="shared" si="13"/>
        <v>1.629130213049649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>
        <v>35</v>
      </c>
      <c r="AJ194" s="66">
        <v>35.6</v>
      </c>
      <c r="AK194" s="66">
        <v>35</v>
      </c>
      <c r="AL194" s="66"/>
      <c r="AM194" s="66"/>
      <c r="AN194" s="66"/>
      <c r="AO194" s="66"/>
      <c r="AP194" s="67">
        <f t="shared" si="11"/>
        <v>27</v>
      </c>
      <c r="AQ194" s="68">
        <f t="shared" si="12"/>
        <v>34.925925925925924</v>
      </c>
      <c r="AR194" s="68">
        <f>IFERROR(VLOOKUP(A194,Climatologia_TMAX!A:U,9+$E$2,FALSE),"")</f>
        <v>33.2712702861986</v>
      </c>
      <c r="AS194" s="68">
        <f t="shared" si="13"/>
        <v>1.6546556397273235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>
        <v>35.200000000000003</v>
      </c>
      <c r="AJ197" s="66">
        <v>32.6</v>
      </c>
      <c r="AK197" s="66">
        <v>33.200000000000003</v>
      </c>
      <c r="AL197" s="66"/>
      <c r="AM197" s="66"/>
      <c r="AN197" s="66"/>
      <c r="AO197" s="66"/>
      <c r="AP197" s="67">
        <f t="shared" ref="AP197:AP260" si="16">COUNTIF(K197:AO197,"&gt;0")</f>
        <v>26</v>
      </c>
      <c r="AQ197" s="68">
        <f t="shared" ref="AQ197:AQ260" si="17">IF(AP197&gt;14,AVERAGE(K197:AO197),"")</f>
        <v>34.684615384615384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1.318572388370491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>
        <v>35</v>
      </c>
      <c r="AJ199" s="66">
        <v>35.200000000000003</v>
      </c>
      <c r="AK199" s="66">
        <v>33</v>
      </c>
      <c r="AL199" s="66"/>
      <c r="AM199" s="66"/>
      <c r="AN199" s="66"/>
      <c r="AO199" s="66"/>
      <c r="AP199" s="67">
        <f t="shared" si="16"/>
        <v>26</v>
      </c>
      <c r="AQ199" s="68">
        <f t="shared" si="17"/>
        <v>34.738461538461543</v>
      </c>
      <c r="AR199" s="68">
        <f>IFERROR(VLOOKUP(A199,Climatologia_TMAX!A:U,9+$E$2,FALSE),"")</f>
        <v>32.247721945302388</v>
      </c>
      <c r="AS199" s="68">
        <f t="shared" si="18"/>
        <v>2.4907395931591552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>
        <v>19</v>
      </c>
      <c r="AJ200" s="66">
        <v>16</v>
      </c>
      <c r="AK200" s="66">
        <v>16</v>
      </c>
      <c r="AL200" s="66"/>
      <c r="AM200" s="66"/>
      <c r="AN200" s="66"/>
      <c r="AO200" s="66"/>
      <c r="AP200" s="67">
        <f t="shared" si="16"/>
        <v>26</v>
      </c>
      <c r="AQ200" s="68">
        <f t="shared" si="17"/>
        <v>18.330769230769231</v>
      </c>
      <c r="AR200" s="68">
        <f>IFERROR(VLOOKUP(A200,Climatologia_TMAX!A:U,9+$E$2,FALSE),"")</f>
        <v>17.595698924731181</v>
      </c>
      <c r="AS200" s="68">
        <f t="shared" si="18"/>
        <v>0.73507030603805035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>
        <v>22.8</v>
      </c>
      <c r="AK201" s="66">
        <v>23.2</v>
      </c>
      <c r="AL201" s="66"/>
      <c r="AM201" s="66"/>
      <c r="AN201" s="66"/>
      <c r="AO201" s="66"/>
      <c r="AP201" s="67">
        <f t="shared" si="16"/>
        <v>23</v>
      </c>
      <c r="AQ201" s="68">
        <f t="shared" si="17"/>
        <v>23.234782608695649</v>
      </c>
      <c r="AR201" s="68">
        <f>IFERROR(VLOOKUP(A201,Climatologia_TMAX!A:U,9+$E$2,FALSE),"")</f>
        <v>22.545313159242191</v>
      </c>
      <c r="AS201" s="68">
        <f t="shared" si="18"/>
        <v>0.68946944945345834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>
        <v>20.2</v>
      </c>
      <c r="AJ203" s="66">
        <v>20.8</v>
      </c>
      <c r="AK203" s="66">
        <v>19.2</v>
      </c>
      <c r="AL203" s="66"/>
      <c r="AM203" s="66"/>
      <c r="AN203" s="66"/>
      <c r="AO203" s="66"/>
      <c r="AP203" s="67">
        <f t="shared" si="16"/>
        <v>26</v>
      </c>
      <c r="AQ203" s="68">
        <f t="shared" si="17"/>
        <v>19.553846153846155</v>
      </c>
      <c r="AR203" s="68">
        <f>IFERROR(VLOOKUP(A203,Climatologia_TMAX!A:U,9+$E$2,FALSE),"")</f>
        <v>19.408677967961381</v>
      </c>
      <c r="AS203" s="68">
        <f t="shared" si="18"/>
        <v>0.1451681858847742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>
        <v>27</v>
      </c>
      <c r="AJ205" s="66">
        <v>28</v>
      </c>
      <c r="AK205" s="66">
        <v>27.4</v>
      </c>
      <c r="AL205" s="66"/>
      <c r="AM205" s="66"/>
      <c r="AN205" s="66"/>
      <c r="AO205" s="66"/>
      <c r="AP205" s="67">
        <f t="shared" si="16"/>
        <v>27</v>
      </c>
      <c r="AQ205" s="68">
        <f t="shared" si="17"/>
        <v>27.622222222222216</v>
      </c>
      <c r="AR205" s="68">
        <f>IFERROR(VLOOKUP(A205,Climatologia_TMAX!A:U,9+$E$2,FALSE),"")</f>
        <v>26.493225806451608</v>
      </c>
      <c r="AS205" s="68">
        <f t="shared" si="18"/>
        <v>1.1289964157706081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>
        <v>33</v>
      </c>
      <c r="AJ208" s="66">
        <v>31.2</v>
      </c>
      <c r="AK208" s="66">
        <v>33.200000000000003</v>
      </c>
      <c r="AL208" s="66"/>
      <c r="AM208" s="66"/>
      <c r="AN208" s="66"/>
      <c r="AO208" s="66"/>
      <c r="AP208" s="67">
        <f t="shared" si="16"/>
        <v>27</v>
      </c>
      <c r="AQ208" s="68">
        <f t="shared" si="17"/>
        <v>32.851851851851862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>
        <v>23.2</v>
      </c>
      <c r="AJ209" s="66">
        <v>23.2</v>
      </c>
      <c r="AK209" s="66">
        <v>23.6</v>
      </c>
      <c r="AL209" s="66"/>
      <c r="AM209" s="66"/>
      <c r="AN209" s="66"/>
      <c r="AO209" s="66"/>
      <c r="AP209" s="67">
        <f t="shared" si="16"/>
        <v>27</v>
      </c>
      <c r="AQ209" s="68">
        <f t="shared" si="17"/>
        <v>23.429629629629634</v>
      </c>
      <c r="AR209" s="68">
        <f>IFERROR(VLOOKUP(A209,Climatologia_TMAX!A:U,9+$E$2,FALSE),"")</f>
        <v>23.463917315535781</v>
      </c>
      <c r="AS209" s="68">
        <f t="shared" si="18"/>
        <v>-3.4287685906146947E-2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>
        <v>30</v>
      </c>
      <c r="AJ210" s="66">
        <v>29.6</v>
      </c>
      <c r="AK210" s="66"/>
      <c r="AL210" s="66"/>
      <c r="AM210" s="66"/>
      <c r="AN210" s="66"/>
      <c r="AO210" s="66"/>
      <c r="AP210" s="67">
        <f t="shared" si="16"/>
        <v>26</v>
      </c>
      <c r="AQ210" s="68">
        <f t="shared" si="17"/>
        <v>29.430769230769229</v>
      </c>
      <c r="AR210" s="68">
        <f>IFERROR(VLOOKUP(A210,Climatologia_TMAX!A:U,9+$E$2,FALSE),"")</f>
        <v>28.857991979167998</v>
      </c>
      <c r="AS210" s="68">
        <f t="shared" si="18"/>
        <v>0.57277725160123083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>
        <v>30</v>
      </c>
      <c r="AJ214" s="66">
        <v>27</v>
      </c>
      <c r="AK214" s="66">
        <v>31</v>
      </c>
      <c r="AL214" s="66"/>
      <c r="AM214" s="66"/>
      <c r="AN214" s="66"/>
      <c r="AO214" s="66"/>
      <c r="AP214" s="67">
        <f t="shared" si="16"/>
        <v>20</v>
      </c>
      <c r="AQ214" s="68">
        <f t="shared" si="17"/>
        <v>29.360000000000003</v>
      </c>
      <c r="AR214" s="68">
        <f>IFERROR(VLOOKUP(A214,Climatologia_TMAX!A:U,9+$E$2,FALSE),"")</f>
        <v>28.602773765873511</v>
      </c>
      <c r="AS214" s="68">
        <f t="shared" si="18"/>
        <v>0.7572262341264917</v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>
        <v>25.4</v>
      </c>
      <c r="AJ216" s="66">
        <v>25.4</v>
      </c>
      <c r="AK216" s="66">
        <v>25.4</v>
      </c>
      <c r="AL216" s="66"/>
      <c r="AM216" s="66"/>
      <c r="AN216" s="66"/>
      <c r="AO216" s="66"/>
      <c r="AP216" s="67">
        <f t="shared" si="16"/>
        <v>26</v>
      </c>
      <c r="AQ216" s="68">
        <f t="shared" si="17"/>
        <v>25.969230769230762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>
        <v>25.6</v>
      </c>
      <c r="AJ217" s="66">
        <v>25.4</v>
      </c>
      <c r="AK217" s="66">
        <v>24</v>
      </c>
      <c r="AL217" s="66"/>
      <c r="AM217" s="66"/>
      <c r="AN217" s="66"/>
      <c r="AO217" s="66"/>
      <c r="AP217" s="67">
        <f t="shared" si="16"/>
        <v>26</v>
      </c>
      <c r="AQ217" s="68">
        <f t="shared" si="17"/>
        <v>25.426923076923082</v>
      </c>
      <c r="AR217" s="68">
        <f>IFERROR(VLOOKUP(A217,Climatologia_TMAX!A:U,9+$E$2,FALSE),"")</f>
        <v>23.708222693998628</v>
      </c>
      <c r="AS217" s="68">
        <f t="shared" si="18"/>
        <v>1.7187003829244532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>
        <v>21.8</v>
      </c>
      <c r="AJ221" s="66">
        <v>17.600000000000001</v>
      </c>
      <c r="AK221" s="66">
        <v>19</v>
      </c>
      <c r="AL221" s="66"/>
      <c r="AM221" s="66"/>
      <c r="AN221" s="66"/>
      <c r="AO221" s="66"/>
      <c r="AP221" s="67">
        <f t="shared" si="16"/>
        <v>26</v>
      </c>
      <c r="AQ221" s="68">
        <f t="shared" si="17"/>
        <v>18.376923076923081</v>
      </c>
      <c r="AR221" s="68">
        <f>IFERROR(VLOOKUP(A221,Climatologia_TMAX!A:U,9+$E$2,FALSE),"")</f>
        <v>15.77183842348882</v>
      </c>
      <c r="AS221" s="68">
        <f t="shared" si="18"/>
        <v>2.6050846534342611</v>
      </c>
      <c r="AT221" s="74">
        <f t="shared" si="19"/>
        <v>21.8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1.8000000000000007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>
        <v>24</v>
      </c>
      <c r="AJ222" s="66">
        <v>22.6</v>
      </c>
      <c r="AK222" s="66">
        <v>23.4</v>
      </c>
      <c r="AL222" s="66"/>
      <c r="AM222" s="66"/>
      <c r="AN222" s="66"/>
      <c r="AO222" s="66"/>
      <c r="AP222" s="67">
        <f t="shared" si="16"/>
        <v>25</v>
      </c>
      <c r="AQ222" s="68">
        <f t="shared" si="17"/>
        <v>23.784000000000002</v>
      </c>
      <c r="AR222" s="68">
        <f>IFERROR(VLOOKUP(A222,Climatologia_TMAX!A:U,9+$E$2,FALSE),"")</f>
        <v>22.577401658408331</v>
      </c>
      <c r="AS222" s="68">
        <f t="shared" si="18"/>
        <v>1.2065983415916719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>
        <v>33</v>
      </c>
      <c r="U224" s="66">
        <v>30.1</v>
      </c>
      <c r="V224" s="66">
        <v>33.1</v>
      </c>
      <c r="W224" s="66">
        <v>33</v>
      </c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>
        <v>33.799999999999997</v>
      </c>
      <c r="AI224" s="66">
        <v>31.6</v>
      </c>
      <c r="AJ224" s="66">
        <v>32</v>
      </c>
      <c r="AK224" s="66">
        <v>31.4</v>
      </c>
      <c r="AL224" s="66"/>
      <c r="AM224" s="66"/>
      <c r="AN224" s="66"/>
      <c r="AO224" s="66"/>
      <c r="AP224" s="67">
        <f t="shared" si="16"/>
        <v>27</v>
      </c>
      <c r="AQ224" s="68">
        <f t="shared" si="17"/>
        <v>32.259259259259267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>
        <v>31</v>
      </c>
      <c r="AJ231" s="66">
        <v>30.6</v>
      </c>
      <c r="AK231" s="66">
        <v>32</v>
      </c>
      <c r="AL231" s="66"/>
      <c r="AM231" s="66"/>
      <c r="AN231" s="66"/>
      <c r="AO231" s="66"/>
      <c r="AP231" s="67">
        <f t="shared" si="16"/>
        <v>26</v>
      </c>
      <c r="AQ231" s="68">
        <f t="shared" si="17"/>
        <v>31.261538461538468</v>
      </c>
      <c r="AR231" s="68">
        <f>IFERROR(VLOOKUP(A231,Climatologia_TMAX!A:U,9+$E$2,FALSE),"")</f>
        <v>30.05920303605313</v>
      </c>
      <c r="AS231" s="68">
        <f t="shared" si="18"/>
        <v>1.2023354254853373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>
        <v>33</v>
      </c>
      <c r="AJ235" s="66">
        <v>32.799999999999997</v>
      </c>
      <c r="AK235" s="66">
        <v>30.8</v>
      </c>
      <c r="AL235" s="66"/>
      <c r="AM235" s="66"/>
      <c r="AN235" s="66"/>
      <c r="AO235" s="66"/>
      <c r="AP235" s="67">
        <f t="shared" si="16"/>
        <v>27</v>
      </c>
      <c r="AQ235" s="68">
        <f t="shared" si="17"/>
        <v>31.729629629629628</v>
      </c>
      <c r="AR235" s="68">
        <f>IFERROR(VLOOKUP(A235,Climatologia_TMAX!A:U,9+$E$2,FALSE),"")</f>
        <v>30.007526881720441</v>
      </c>
      <c r="AS235" s="68">
        <f t="shared" si="18"/>
        <v>1.7221027479091866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30.999999999999996</v>
      </c>
      <c r="AR238" s="68">
        <f>IFERROR(VLOOKUP(A238,Climatologia_TMAX!A:U,9+$E$2,FALSE),"")</f>
        <v>30.124159739837651</v>
      </c>
      <c r="AS238" s="68">
        <f t="shared" si="18"/>
        <v>0.87584026016234517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>
        <v>27.4</v>
      </c>
      <c r="AJ244" s="66">
        <v>27.2</v>
      </c>
      <c r="AK244" s="66">
        <v>27.8</v>
      </c>
      <c r="AL244" s="66"/>
      <c r="AM244" s="66"/>
      <c r="AN244" s="66"/>
      <c r="AO244" s="66"/>
      <c r="AP244" s="67">
        <f t="shared" si="16"/>
        <v>26</v>
      </c>
      <c r="AQ244" s="68">
        <f t="shared" si="17"/>
        <v>27.046153846153842</v>
      </c>
      <c r="AR244" s="68">
        <f>IFERROR(VLOOKUP(A244,Climatologia_TMAX!A:U,9+$E$2,FALSE),"")</f>
        <v>25.185936967000369</v>
      </c>
      <c r="AS244" s="68">
        <f t="shared" si="18"/>
        <v>1.860216879153473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>
        <v>31.6</v>
      </c>
      <c r="AJ246" s="66">
        <v>31</v>
      </c>
      <c r="AK246" s="66">
        <v>29.8</v>
      </c>
      <c r="AL246" s="66"/>
      <c r="AM246" s="66"/>
      <c r="AN246" s="66"/>
      <c r="AO246" s="66"/>
      <c r="AP246" s="67">
        <f t="shared" si="16"/>
        <v>27</v>
      </c>
      <c r="AQ246" s="68">
        <f t="shared" si="17"/>
        <v>31.74814814814815</v>
      </c>
      <c r="AR246" s="68">
        <f>IFERROR(VLOOKUP(A246,Climatologia_TMAX!A:U,9+$E$2,FALSE),"")</f>
        <v>29.837016579267971</v>
      </c>
      <c r="AS246" s="68">
        <f t="shared" si="18"/>
        <v>1.9111315688801795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>
        <v>36.200000000000003</v>
      </c>
      <c r="AJ247" s="66">
        <v>33.200000000000003</v>
      </c>
      <c r="AK247" s="66">
        <v>36.6</v>
      </c>
      <c r="AL247" s="66"/>
      <c r="AM247" s="66"/>
      <c r="AN247" s="66"/>
      <c r="AO247" s="66"/>
      <c r="AP247" s="67">
        <f t="shared" si="16"/>
        <v>27</v>
      </c>
      <c r="AQ247" s="68">
        <f t="shared" si="17"/>
        <v>36.422222222222224</v>
      </c>
      <c r="AR247" s="68">
        <f>IFERROR(VLOOKUP(A247,Climatologia_TMAX!A:U,9+$E$2,FALSE),"")</f>
        <v>34.589235433370753</v>
      </c>
      <c r="AS247" s="68">
        <f t="shared" si="18"/>
        <v>1.8329867888514713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>
        <v>35.200000000000003</v>
      </c>
      <c r="AJ248" s="66">
        <v>35.6</v>
      </c>
      <c r="AK248" s="66">
        <v>35.799999999999997</v>
      </c>
      <c r="AL248" s="66"/>
      <c r="AM248" s="66"/>
      <c r="AN248" s="66"/>
      <c r="AO248" s="66"/>
      <c r="AP248" s="67">
        <f t="shared" si="16"/>
        <v>23</v>
      </c>
      <c r="AQ248" s="68">
        <f t="shared" si="17"/>
        <v>35.043478260869563</v>
      </c>
      <c r="AR248" s="68">
        <f>IFERROR(VLOOKUP(A248,Climatologia_TMAX!A:U,9+$E$2,FALSE),"")</f>
        <v>33.055274477310391</v>
      </c>
      <c r="AS248" s="68">
        <f t="shared" si="18"/>
        <v>1.9882037835591717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>
        <v>32</v>
      </c>
      <c r="AJ249" s="66">
        <v>30.2</v>
      </c>
      <c r="AK249" s="66">
        <v>32</v>
      </c>
      <c r="AL249" s="66"/>
      <c r="AM249" s="66"/>
      <c r="AN249" s="66"/>
      <c r="AO249" s="66"/>
      <c r="AP249" s="67">
        <f t="shared" si="16"/>
        <v>27</v>
      </c>
      <c r="AQ249" s="68">
        <f t="shared" si="17"/>
        <v>31.459259259259259</v>
      </c>
      <c r="AR249" s="68">
        <f>IFERROR(VLOOKUP(A249,Climatologia_TMAX!A:U,9+$E$2,FALSE),"")</f>
        <v>30.878774770320931</v>
      </c>
      <c r="AS249" s="68">
        <f t="shared" si="18"/>
        <v>0.58048448893832827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>
        <v>36.4</v>
      </c>
      <c r="AJ250" s="66">
        <v>35.200000000000003</v>
      </c>
      <c r="AK250" s="66">
        <v>37.6</v>
      </c>
      <c r="AL250" s="66"/>
      <c r="AM250" s="66"/>
      <c r="AN250" s="66"/>
      <c r="AO250" s="66"/>
      <c r="AP250" s="67">
        <f t="shared" si="16"/>
        <v>25</v>
      </c>
      <c r="AQ250" s="68">
        <f t="shared" si="17"/>
        <v>37.183999999999997</v>
      </c>
      <c r="AR250" s="68">
        <f>IFERROR(VLOOKUP(A250,Climatologia_TMAX!A:U,9+$E$2,FALSE),"")</f>
        <v>35.594967029941238</v>
      </c>
      <c r="AS250" s="68">
        <f t="shared" si="18"/>
        <v>1.58903297005876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>
        <v>36</v>
      </c>
      <c r="AJ252" s="66">
        <v>37.799999999999997</v>
      </c>
      <c r="AK252" s="66">
        <v>38</v>
      </c>
      <c r="AL252" s="66"/>
      <c r="AM252" s="66"/>
      <c r="AN252" s="66"/>
      <c r="AO252" s="66"/>
      <c r="AP252" s="67">
        <f t="shared" si="16"/>
        <v>27</v>
      </c>
      <c r="AQ252" s="68">
        <f t="shared" si="17"/>
        <v>36.785185185185185</v>
      </c>
      <c r="AR252" s="68">
        <f>IFERROR(VLOOKUP(A252,Climatologia_TMAX!A:U,9+$E$2,FALSE),"")</f>
        <v>34.166488485337432</v>
      </c>
      <c r="AS252" s="68">
        <f t="shared" si="18"/>
        <v>2.618696699847753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>
        <v>35.4</v>
      </c>
      <c r="AJ255" s="66">
        <v>32.6</v>
      </c>
      <c r="AK255" s="66"/>
      <c r="AL255" s="66"/>
      <c r="AM255" s="66"/>
      <c r="AN255" s="66"/>
      <c r="AO255" s="66"/>
      <c r="AP255" s="67">
        <f t="shared" si="16"/>
        <v>25</v>
      </c>
      <c r="AQ255" s="68">
        <f t="shared" si="17"/>
        <v>33.47999999999999</v>
      </c>
      <c r="AR255" s="68">
        <f>IFERROR(VLOOKUP(A255,Climatologia_TMAX!A:U,9+$E$2,FALSE),"")</f>
        <v>32.101564904411298</v>
      </c>
      <c r="AS255" s="68">
        <f t="shared" si="18"/>
        <v>1.3784350955886921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>
        <v>25</v>
      </c>
      <c r="AJ258" s="66">
        <v>24.2</v>
      </c>
      <c r="AK258" s="66">
        <v>23.6</v>
      </c>
      <c r="AL258" s="66"/>
      <c r="AM258" s="66"/>
      <c r="AN258" s="66"/>
      <c r="AO258" s="66"/>
      <c r="AP258" s="67">
        <f t="shared" si="16"/>
        <v>27</v>
      </c>
      <c r="AQ258" s="68">
        <f t="shared" si="17"/>
        <v>25.229629629629635</v>
      </c>
      <c r="AR258" s="68">
        <f>IFERROR(VLOOKUP(A258,Climatologia_TMAX!A:U,9+$E$2,FALSE),"")</f>
        <v>23.031672231617851</v>
      </c>
      <c r="AS258" s="68">
        <f t="shared" si="18"/>
        <v>2.1979573980117841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>
        <v>26.2</v>
      </c>
      <c r="AJ259" s="66">
        <v>25.4</v>
      </c>
      <c r="AK259" s="66">
        <v>27.4</v>
      </c>
      <c r="AL259" s="66"/>
      <c r="AM259" s="66"/>
      <c r="AN259" s="66"/>
      <c r="AO259" s="66"/>
      <c r="AP259" s="67">
        <f t="shared" si="16"/>
        <v>27</v>
      </c>
      <c r="AQ259" s="68">
        <f t="shared" si="17"/>
        <v>25.814814814814813</v>
      </c>
      <c r="AR259" s="68">
        <f>IFERROR(VLOOKUP(A259,Climatologia_TMAX!A:U,9+$E$2,FALSE),"")</f>
        <v>26.17729236188358</v>
      </c>
      <c r="AS259" s="68">
        <f t="shared" si="18"/>
        <v>-0.36247754706876734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>
        <v>20.8</v>
      </c>
      <c r="AJ260" s="66">
        <v>19.2</v>
      </c>
      <c r="AK260" s="66">
        <v>20.399999999999999</v>
      </c>
      <c r="AL260" s="66"/>
      <c r="AM260" s="66"/>
      <c r="AN260" s="66"/>
      <c r="AO260" s="66"/>
      <c r="AP260" s="67">
        <f t="shared" si="16"/>
        <v>27</v>
      </c>
      <c r="AQ260" s="68">
        <f t="shared" si="17"/>
        <v>20.511111111111113</v>
      </c>
      <c r="AR260" s="68">
        <f>IFERROR(VLOOKUP(A260,Climatologia_TMAX!A:U,9+$E$2,FALSE),"")</f>
        <v>18.964877782721398</v>
      </c>
      <c r="AS260" s="68">
        <f t="shared" si="18"/>
        <v>1.5462333283897145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>
        <v>34.4</v>
      </c>
      <c r="AJ261" s="66">
        <v>34</v>
      </c>
      <c r="AK261" s="66">
        <v>35.4</v>
      </c>
      <c r="AL261" s="66"/>
      <c r="AM261" s="66"/>
      <c r="AN261" s="66"/>
      <c r="AO261" s="66"/>
      <c r="AP261" s="67">
        <f t="shared" ref="AP261:AP324" si="21">COUNTIF(K261:AO261,"&gt;0")</f>
        <v>27</v>
      </c>
      <c r="AQ261" s="68">
        <f t="shared" ref="AQ261:AQ324" si="22">IF(AP261&gt;14,AVERAGE(K261:AO261),"")</f>
        <v>34.688888888888883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>
        <v>22.6</v>
      </c>
      <c r="AJ262" s="66">
        <v>20.399999999999999</v>
      </c>
      <c r="AK262" s="66">
        <v>20.6</v>
      </c>
      <c r="AL262" s="66"/>
      <c r="AM262" s="66"/>
      <c r="AN262" s="66"/>
      <c r="AO262" s="66"/>
      <c r="AP262" s="67">
        <f t="shared" si="21"/>
        <v>27</v>
      </c>
      <c r="AQ262" s="68">
        <f t="shared" si="22"/>
        <v>22.125925925925927</v>
      </c>
      <c r="AR262" s="68">
        <f>IFERROR(VLOOKUP(A262,Climatologia_TMAX!A:U,9+$E$2,FALSE),"")</f>
        <v>20.885706399035701</v>
      </c>
      <c r="AS262" s="68">
        <f t="shared" si="23"/>
        <v>1.2402195268902254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/>
      <c r="AJ266" s="66">
        <v>21.6</v>
      </c>
      <c r="AK266" s="66">
        <v>19.399999999999999</v>
      </c>
      <c r="AL266" s="66"/>
      <c r="AM266" s="66"/>
      <c r="AN266" s="66"/>
      <c r="AO266" s="66"/>
      <c r="AP266" s="67">
        <f t="shared" si="21"/>
        <v>19</v>
      </c>
      <c r="AQ266" s="68">
        <f t="shared" si="22"/>
        <v>19.357894736842105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21.6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-1.7999999999999972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>
        <v>14.6</v>
      </c>
      <c r="AJ268" s="66">
        <v>15.2</v>
      </c>
      <c r="AK268" s="66">
        <v>15.8</v>
      </c>
      <c r="AL268" s="66"/>
      <c r="AM268" s="66"/>
      <c r="AN268" s="66"/>
      <c r="AO268" s="66"/>
      <c r="AP268" s="67">
        <f t="shared" si="21"/>
        <v>27</v>
      </c>
      <c r="AQ268" s="68">
        <f t="shared" si="22"/>
        <v>15.333333333333336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>
        <v>20.8</v>
      </c>
      <c r="AJ269" s="66">
        <v>18.600000000000001</v>
      </c>
      <c r="AK269" s="66">
        <v>20.399999999999999</v>
      </c>
      <c r="AL269" s="66"/>
      <c r="AM269" s="66"/>
      <c r="AN269" s="66"/>
      <c r="AO269" s="66"/>
      <c r="AP269" s="67">
        <f t="shared" si="21"/>
        <v>27</v>
      </c>
      <c r="AQ269" s="68">
        <f t="shared" si="22"/>
        <v>20.185185185185187</v>
      </c>
      <c r="AR269" s="68">
        <f>IFERROR(VLOOKUP(A269,Climatologia_TMAX!A:U,9+$E$2,FALSE),"")</f>
        <v>18.914438253180371</v>
      </c>
      <c r="AS269" s="68">
        <f t="shared" si="23"/>
        <v>1.2707469320048155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/>
      <c r="AJ270" s="66">
        <v>19.399999999999999</v>
      </c>
      <c r="AK270" s="66">
        <v>17.8</v>
      </c>
      <c r="AL270" s="66"/>
      <c r="AM270" s="66"/>
      <c r="AN270" s="66"/>
      <c r="AO270" s="66"/>
      <c r="AP270" s="67">
        <f t="shared" si="21"/>
        <v>25</v>
      </c>
      <c r="AQ270" s="68">
        <f t="shared" si="22"/>
        <v>18.216000000000001</v>
      </c>
      <c r="AR270" s="68">
        <f>IFERROR(VLOOKUP(A270,Climatologia_TMAX!A:U,9+$E$2,FALSE),"")</f>
        <v>16.09168553853759</v>
      </c>
      <c r="AS270" s="68">
        <f t="shared" si="23"/>
        <v>2.1243144614624114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/>
      <c r="AJ271" s="66">
        <v>20.2</v>
      </c>
      <c r="AK271" s="66"/>
      <c r="AL271" s="66"/>
      <c r="AM271" s="66"/>
      <c r="AN271" s="66"/>
      <c r="AO271" s="66"/>
      <c r="AP271" s="67">
        <f t="shared" si="21"/>
        <v>25</v>
      </c>
      <c r="AQ271" s="68">
        <f t="shared" si="22"/>
        <v>17.975999999999996</v>
      </c>
      <c r="AR271" s="68">
        <f>IFERROR(VLOOKUP(A271,Climatologia_TMAX!A:U,9+$E$2,FALSE),"")</f>
        <v>17.216948903833771</v>
      </c>
      <c r="AS271" s="68">
        <f t="shared" si="23"/>
        <v>0.75905109616622468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>
        <v>24.2</v>
      </c>
      <c r="AJ272" s="66">
        <v>22</v>
      </c>
      <c r="AK272" s="66">
        <v>20.8</v>
      </c>
      <c r="AL272" s="66"/>
      <c r="AM272" s="66"/>
      <c r="AN272" s="66"/>
      <c r="AO272" s="66"/>
      <c r="AP272" s="67">
        <f t="shared" si="21"/>
        <v>26</v>
      </c>
      <c r="AQ272" s="68">
        <f t="shared" si="22"/>
        <v>21.830769230769228</v>
      </c>
      <c r="AR272" s="68">
        <f>IFERROR(VLOOKUP(A272,Climatologia_TMAX!A:U,9+$E$2,FALSE),"")</f>
        <v>20.066417437381329</v>
      </c>
      <c r="AS272" s="68">
        <f t="shared" si="23"/>
        <v>1.7643517933878989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>
        <v>27</v>
      </c>
      <c r="AJ273" s="66">
        <v>24.4</v>
      </c>
      <c r="AK273" s="66">
        <v>26.2</v>
      </c>
      <c r="AL273" s="66"/>
      <c r="AM273" s="66"/>
      <c r="AN273" s="66"/>
      <c r="AO273" s="66"/>
      <c r="AP273" s="67">
        <f t="shared" si="21"/>
        <v>27</v>
      </c>
      <c r="AQ273" s="68">
        <f t="shared" si="22"/>
        <v>26.111111111111114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/>
      <c r="AJ275" s="66">
        <v>12</v>
      </c>
      <c r="AK275" s="66">
        <v>13</v>
      </c>
      <c r="AL275" s="66"/>
      <c r="AM275" s="66"/>
      <c r="AN275" s="66"/>
      <c r="AO275" s="66"/>
      <c r="AP275" s="67">
        <f t="shared" si="21"/>
        <v>26</v>
      </c>
      <c r="AQ275" s="68">
        <f t="shared" si="22"/>
        <v>12.092307692307692</v>
      </c>
      <c r="AR275" s="68">
        <f>IFERROR(VLOOKUP(A275,Climatologia_TMAX!A:U,9+$E$2,FALSE),"")</f>
        <v>11.30910159979682</v>
      </c>
      <c r="AS275" s="68">
        <f t="shared" si="23"/>
        <v>0.7832060925108717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>
        <v>33.4</v>
      </c>
      <c r="AJ278" s="66">
        <v>30.6</v>
      </c>
      <c r="AK278" s="66">
        <v>31.8</v>
      </c>
      <c r="AL278" s="66"/>
      <c r="AM278" s="66"/>
      <c r="AN278" s="66"/>
      <c r="AO278" s="66"/>
      <c r="AP278" s="67">
        <f t="shared" si="21"/>
        <v>27</v>
      </c>
      <c r="AQ278" s="68">
        <f t="shared" si="22"/>
        <v>31.80740740740741</v>
      </c>
      <c r="AR278" s="68">
        <f>IFERROR(VLOOKUP(A278,Climatologia_TMAX!A:U,9+$E$2,FALSE),"")</f>
        <v>30.558898924731189</v>
      </c>
      <c r="AS278" s="68">
        <f t="shared" si="23"/>
        <v>1.2485084826762218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>
        <v>22.4</v>
      </c>
      <c r="AJ279" s="66">
        <v>20.2</v>
      </c>
      <c r="AK279" s="66">
        <v>21.4</v>
      </c>
      <c r="AL279" s="66"/>
      <c r="AM279" s="66"/>
      <c r="AN279" s="66"/>
      <c r="AO279" s="66"/>
      <c r="AP279" s="67">
        <f t="shared" si="21"/>
        <v>26</v>
      </c>
      <c r="AQ279" s="68">
        <f t="shared" si="22"/>
        <v>21.042307692307688</v>
      </c>
      <c r="AR279" s="68">
        <f>IFERROR(VLOOKUP(A279,Climatologia_TMAX!A:U,9+$E$2,FALSE),"")</f>
        <v>19.979224744457721</v>
      </c>
      <c r="AS279" s="68">
        <f t="shared" si="23"/>
        <v>1.063082947849967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>
        <v>33.4</v>
      </c>
      <c r="AJ280" s="66">
        <v>28.8</v>
      </c>
      <c r="AK280" s="66">
        <v>31.4</v>
      </c>
      <c r="AL280" s="66"/>
      <c r="AM280" s="66"/>
      <c r="AN280" s="66"/>
      <c r="AO280" s="66"/>
      <c r="AP280" s="67">
        <f t="shared" si="21"/>
        <v>27</v>
      </c>
      <c r="AQ280" s="68">
        <f t="shared" si="22"/>
        <v>31.000000000000004</v>
      </c>
      <c r="AR280" s="68">
        <f>IFERROR(VLOOKUP(A280,Climatologia_TMAX!A:U,9+$E$2,FALSE),"")</f>
        <v>29.080095604803059</v>
      </c>
      <c r="AS280" s="68">
        <f t="shared" si="23"/>
        <v>1.9199043951969443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>
        <v>21.8</v>
      </c>
      <c r="AJ281" s="66">
        <v>19</v>
      </c>
      <c r="AK281" s="66">
        <v>20.8</v>
      </c>
      <c r="AL281" s="66"/>
      <c r="AM281" s="66"/>
      <c r="AN281" s="66"/>
      <c r="AO281" s="66"/>
      <c r="AP281" s="67">
        <f t="shared" si="21"/>
        <v>27</v>
      </c>
      <c r="AQ281" s="68">
        <f t="shared" si="22"/>
        <v>20.992592592592587</v>
      </c>
      <c r="AR281" s="68">
        <f>IFERROR(VLOOKUP(A281,Climatologia_TMAX!A:U,9+$E$2,FALSE),"")</f>
        <v>19.480961768219831</v>
      </c>
      <c r="AS281" s="68">
        <f t="shared" si="23"/>
        <v>1.5116308243727552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>
        <v>17.399999999999999</v>
      </c>
      <c r="AJ283" s="66">
        <v>19.399999999999999</v>
      </c>
      <c r="AK283" s="66">
        <v>18.8</v>
      </c>
      <c r="AL283" s="66"/>
      <c r="AM283" s="66"/>
      <c r="AN283" s="66"/>
      <c r="AO283" s="66"/>
      <c r="AP283" s="67">
        <f t="shared" si="21"/>
        <v>27</v>
      </c>
      <c r="AQ283" s="68">
        <f t="shared" si="22"/>
        <v>18.940740740740736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/>
      <c r="AJ284" s="66">
        <v>18.2</v>
      </c>
      <c r="AK284" s="66">
        <v>19.2</v>
      </c>
      <c r="AL284" s="66"/>
      <c r="AM284" s="66"/>
      <c r="AN284" s="66"/>
      <c r="AO284" s="66"/>
      <c r="AP284" s="67">
        <f t="shared" si="21"/>
        <v>26</v>
      </c>
      <c r="AQ284" s="68">
        <f t="shared" si="22"/>
        <v>19.438461538461535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>
        <v>21</v>
      </c>
      <c r="AJ285" s="66">
        <v>19.8</v>
      </c>
      <c r="AK285" s="66">
        <v>20.8</v>
      </c>
      <c r="AL285" s="66"/>
      <c r="AM285" s="66"/>
      <c r="AN285" s="66"/>
      <c r="AO285" s="66"/>
      <c r="AP285" s="67">
        <f t="shared" si="21"/>
        <v>27</v>
      </c>
      <c r="AQ285" s="68">
        <f t="shared" si="22"/>
        <v>20.592592592592592</v>
      </c>
      <c r="AR285" s="68">
        <f>IFERROR(VLOOKUP(A285,Climatologia_TMAX!A:U,9+$E$2,FALSE),"")</f>
        <v>19.031953400468261</v>
      </c>
      <c r="AS285" s="68">
        <f t="shared" si="23"/>
        <v>1.5606391921243308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>
        <v>16.8</v>
      </c>
      <c r="AK287" s="66"/>
      <c r="AL287" s="66"/>
      <c r="AM287" s="66"/>
      <c r="AN287" s="66"/>
      <c r="AO287" s="66"/>
      <c r="AP287" s="67">
        <f t="shared" si="21"/>
        <v>23</v>
      </c>
      <c r="AQ287" s="68">
        <f t="shared" si="22"/>
        <v>18.991304347826084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5" width="11.42578125" style="42" customWidth="1"/>
    <col min="96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2026-07-28T15:07:57Z</dcterms:modified>
</cp:coreProperties>
</file>