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271830C-7F79-4FFB-9DF4-9066E87C3DE0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Temperatura!$Y$1:$Y$208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Q192" i="1"/>
  <c r="AP192" i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Q178" i="1"/>
  <c r="AS178" i="1" s="1"/>
  <c r="AP178" i="1"/>
  <c r="AV177" i="1" a="1"/>
  <c r="AV177" i="1" s="1"/>
  <c r="AU177" i="1" a="1"/>
  <c r="AU177" i="1" s="1"/>
  <c r="AT177" i="1"/>
  <c r="AW177" i="1" s="1"/>
  <c r="AR177" i="1"/>
  <c r="AP177" i="1"/>
  <c r="AQ177" i="1" s="1"/>
  <c r="AV176" i="1" a="1"/>
  <c r="AV176" i="1" s="1"/>
  <c r="AU176" i="1" a="1"/>
  <c r="AU176" i="1" s="1"/>
  <c r="AT176" i="1"/>
  <c r="AR176" i="1"/>
  <c r="AQ176" i="1"/>
  <c r="AP176" i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Q162" i="1"/>
  <c r="AP162" i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W158" i="1" s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W146" i="1" s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Q140" i="1"/>
  <c r="AP140" i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W121" i="1" s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Q115" i="1"/>
  <c r="AS115" i="1" s="1"/>
  <c r="AP115" i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W107" i="1" s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W104" i="1" s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W94" i="1" s="1"/>
  <c r="AR94" i="1"/>
  <c r="AP94" i="1"/>
  <c r="AQ94" i="1" s="1"/>
  <c r="AS94" i="1" s="1"/>
  <c r="AV93" i="1" a="1"/>
  <c r="AV93" i="1" s="1"/>
  <c r="AU93" i="1" a="1"/>
  <c r="AU93" i="1" s="1"/>
  <c r="AT93" i="1"/>
  <c r="AR93" i="1"/>
  <c r="AQ93" i="1"/>
  <c r="AP93" i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Q81" i="1"/>
  <c r="AS81" i="1" s="1"/>
  <c r="AP81" i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W74" i="1" s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W41" i="1" s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W29" i="1" s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/>
  <c r="AT18" i="1"/>
  <c r="AW18" i="1" s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/>
  <c r="AT10" i="1"/>
  <c r="AR10" i="1"/>
  <c r="AP10" i="1"/>
  <c r="AQ10" i="1" s="1"/>
  <c r="AV9" i="1" a="1"/>
  <c r="AV9" i="1"/>
  <c r="AU9" i="1" a="1"/>
  <c r="AU9" i="1" s="1"/>
  <c r="AT9" i="1"/>
  <c r="AR9" i="1"/>
  <c r="AP9" i="1"/>
  <c r="AQ9" i="1" s="1"/>
  <c r="AS9" i="1" s="1"/>
  <c r="AV8" i="1" a="1"/>
  <c r="AV8" i="1" s="1"/>
  <c r="AU8" i="1" a="1"/>
  <c r="AU8" i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56" i="1" l="1"/>
  <c r="AS68" i="1"/>
  <c r="AS76" i="1"/>
  <c r="AS111" i="1"/>
  <c r="AW134" i="1"/>
  <c r="AS150" i="1"/>
  <c r="AW173" i="1"/>
  <c r="AS96" i="1"/>
  <c r="AS100" i="1"/>
  <c r="AS104" i="1"/>
  <c r="AW8" i="1"/>
  <c r="AW15" i="1"/>
  <c r="AS22" i="1"/>
  <c r="AS53" i="1"/>
  <c r="AS57" i="1"/>
  <c r="AS61" i="1"/>
  <c r="AS65" i="1"/>
  <c r="AS108" i="1"/>
  <c r="AS155" i="1"/>
  <c r="AW193" i="1"/>
  <c r="AW57" i="1"/>
  <c r="AW163" i="1"/>
  <c r="AS175" i="1"/>
  <c r="AS194" i="1"/>
  <c r="AW22" i="1"/>
  <c r="AW30" i="1"/>
  <c r="AS23" i="1"/>
  <c r="AS54" i="1"/>
  <c r="AS62" i="1"/>
  <c r="AS109" i="1"/>
  <c r="AS160" i="1"/>
  <c r="AW16" i="1"/>
  <c r="AW97" i="1"/>
  <c r="AW144" i="1"/>
  <c r="AW117" i="1"/>
  <c r="AS172" i="1"/>
  <c r="AS195" i="1"/>
  <c r="AW6" i="1"/>
  <c r="AS10" i="1"/>
  <c r="AW20" i="1"/>
  <c r="AS59" i="1"/>
  <c r="AW10" i="1"/>
  <c r="AW17" i="1"/>
  <c r="AW145" i="1"/>
  <c r="AW149" i="1"/>
  <c r="AS71" i="1"/>
  <c r="AS75" i="1"/>
  <c r="AS79" i="1"/>
  <c r="AW124" i="1"/>
  <c r="AS136" i="1"/>
  <c r="AW155" i="1"/>
  <c r="AS174" i="1"/>
  <c r="AW109" i="1"/>
  <c r="AW185" i="1"/>
  <c r="AW71" i="1"/>
  <c r="AW79" i="1"/>
  <c r="AS98" i="1"/>
  <c r="AS148" i="1"/>
  <c r="AS91" i="1"/>
  <c r="AS171" i="1"/>
  <c r="AW26" i="1"/>
  <c r="AS30" i="1"/>
  <c r="AW171" i="1"/>
  <c r="AW205" i="1"/>
  <c r="AW45" i="1"/>
  <c r="AS84" i="1"/>
  <c r="AS99" i="1"/>
  <c r="AS145" i="1"/>
  <c r="AS153" i="1"/>
  <c r="AS118" i="1"/>
  <c r="AS126" i="1"/>
  <c r="AS168" i="1"/>
  <c r="AS179" i="1"/>
  <c r="AS202" i="1"/>
  <c r="AW21" i="1"/>
  <c r="AW23" i="1"/>
  <c r="AS27" i="1"/>
  <c r="AW34" i="1"/>
  <c r="AS46" i="1"/>
  <c r="AS50" i="1"/>
  <c r="AS69" i="1"/>
  <c r="AS138" i="1"/>
  <c r="AW153" i="1"/>
  <c r="AW168" i="1"/>
  <c r="AW183" i="1"/>
  <c r="AW69" i="1"/>
  <c r="AS28" i="1"/>
  <c r="AS43" i="1"/>
  <c r="AS47" i="1"/>
  <c r="AS51" i="1"/>
  <c r="AS74" i="1"/>
  <c r="AS78" i="1"/>
  <c r="AW119" i="1"/>
  <c r="AW127" i="1"/>
  <c r="AS158" i="1"/>
  <c r="AS173" i="1"/>
  <c r="AS188" i="1"/>
  <c r="AS52" i="1"/>
  <c r="AW67" i="1"/>
  <c r="AS5" i="1"/>
  <c r="AS143" i="1"/>
  <c r="AS162" i="1"/>
  <c r="AS8" i="1"/>
  <c r="AS86" i="1"/>
  <c r="AS128" i="1"/>
  <c r="AW162" i="1"/>
  <c r="AS200" i="1"/>
  <c r="AW24" i="1"/>
  <c r="AW53" i="1"/>
  <c r="AS186" i="1"/>
  <c r="AS18" i="1"/>
  <c r="AW38" i="1"/>
  <c r="AW46" i="1"/>
  <c r="AS90" i="1"/>
  <c r="AW111" i="1"/>
  <c r="AW165" i="1"/>
  <c r="AW172" i="1"/>
  <c r="AS183" i="1"/>
  <c r="AS190" i="1"/>
  <c r="AW204" i="1"/>
  <c r="AS140" i="1"/>
  <c r="AS176" i="1"/>
  <c r="AW28" i="1"/>
  <c r="AW32" i="1"/>
  <c r="AW39" i="1"/>
  <c r="AS80" i="1"/>
  <c r="AW101" i="1"/>
  <c r="AS130" i="1"/>
  <c r="AS152" i="1"/>
  <c r="AS159" i="1"/>
  <c r="AW12" i="1"/>
  <c r="AS166" i="1"/>
  <c r="AS19" i="1"/>
  <c r="AW43" i="1"/>
  <c r="AS55" i="1"/>
  <c r="AS66" i="1"/>
  <c r="AW87" i="1"/>
  <c r="AS116" i="1"/>
  <c r="AW137" i="1"/>
  <c r="AS141" i="1"/>
  <c r="AS163" i="1"/>
  <c r="AS170" i="1"/>
  <c r="AS184" i="1"/>
  <c r="AW36" i="1"/>
  <c r="AS191" i="1"/>
  <c r="AW19" i="1"/>
  <c r="AS26" i="1"/>
  <c r="AS44" i="1"/>
  <c r="AS48" i="1"/>
  <c r="AS70" i="1"/>
  <c r="AW91" i="1"/>
  <c r="AS120" i="1"/>
  <c r="AS156" i="1"/>
  <c r="AW191" i="1"/>
  <c r="AW40" i="1"/>
  <c r="AW59" i="1"/>
  <c r="AW84" i="1"/>
  <c r="AS181" i="1"/>
  <c r="AS124" i="1"/>
  <c r="AS142" i="1"/>
  <c r="AW181" i="1"/>
  <c r="AW195" i="1"/>
  <c r="AP2" i="1"/>
  <c r="AS41" i="1"/>
  <c r="AS60" i="1"/>
  <c r="AW81" i="1"/>
  <c r="AS110" i="1"/>
  <c r="AW131" i="1"/>
  <c r="AS146" i="1"/>
  <c r="AS164" i="1"/>
  <c r="AW167" i="1"/>
  <c r="AW188" i="1"/>
  <c r="AS192" i="1"/>
  <c r="AW56" i="1"/>
  <c r="AS64" i="1"/>
  <c r="AS89" i="1"/>
  <c r="AS114" i="1"/>
  <c r="AS139" i="1"/>
  <c r="AW150" i="1"/>
  <c r="AS154" i="1"/>
  <c r="AW157" i="1"/>
  <c r="AW178" i="1"/>
  <c r="AS189" i="1"/>
  <c r="AS161" i="1"/>
  <c r="AS196" i="1"/>
  <c r="AS11" i="1"/>
  <c r="AW14" i="1"/>
  <c r="AS24" i="1"/>
  <c r="AS31" i="1"/>
  <c r="AS38" i="1"/>
  <c r="AW64" i="1"/>
  <c r="AW89" i="1"/>
  <c r="AW114" i="1"/>
  <c r="AW139" i="1"/>
  <c r="AS147" i="1"/>
  <c r="AW161" i="1"/>
  <c r="AW175" i="1"/>
  <c r="AW182" i="1"/>
  <c r="AS193" i="1"/>
  <c r="AW42" i="1"/>
  <c r="AW55" i="1"/>
  <c r="AS33" i="1"/>
  <c r="AW143" i="1"/>
  <c r="AW197" i="1"/>
  <c r="AW73" i="1"/>
  <c r="AW83" i="1"/>
  <c r="AW93" i="1"/>
  <c r="AW103" i="1"/>
  <c r="AW113" i="1"/>
  <c r="AW123" i="1"/>
  <c r="AW133" i="1"/>
  <c r="AW140" i="1"/>
  <c r="AW187" i="1"/>
  <c r="AW50" i="1"/>
  <c r="AW60" i="1"/>
  <c r="AS67" i="1"/>
  <c r="AW70" i="1"/>
  <c r="AS77" i="1"/>
  <c r="AW80" i="1"/>
  <c r="AS87" i="1"/>
  <c r="AW90" i="1"/>
  <c r="AS97" i="1"/>
  <c r="AW100" i="1"/>
  <c r="AS107" i="1"/>
  <c r="AW110" i="1"/>
  <c r="AS117" i="1"/>
  <c r="AW120" i="1"/>
  <c r="AS127" i="1"/>
  <c r="AW130" i="1"/>
  <c r="AS137" i="1"/>
  <c r="AS144" i="1"/>
  <c r="AW147" i="1"/>
  <c r="AW154" i="1"/>
  <c r="AW164" i="1"/>
  <c r="AW174" i="1"/>
  <c r="AW184" i="1"/>
  <c r="AW194" i="1"/>
  <c r="AS201" i="1"/>
  <c r="AS17" i="1"/>
  <c r="AS151" i="1"/>
  <c r="AS198" i="1"/>
  <c r="AW201" i="1"/>
  <c r="AW47" i="1"/>
  <c r="AW151" i="1"/>
  <c r="AW141" i="1"/>
  <c r="AW51" i="1"/>
  <c r="AS58" i="1"/>
  <c r="AW61" i="1"/>
  <c r="AW148" i="1"/>
  <c r="AS199" i="1"/>
  <c r="AW202" i="1"/>
  <c r="AS206" i="1"/>
  <c r="AW48" i="1"/>
  <c r="AW58" i="1"/>
  <c r="AW68" i="1"/>
  <c r="AW78" i="1"/>
  <c r="AW88" i="1"/>
  <c r="AW98" i="1"/>
  <c r="AW108" i="1"/>
  <c r="AW118" i="1"/>
  <c r="AW128" i="1"/>
  <c r="AW138" i="1"/>
  <c r="AS149" i="1"/>
  <c r="AW152" i="1"/>
  <c r="AW192" i="1"/>
  <c r="AW199" i="1"/>
  <c r="AW206" i="1"/>
  <c r="AS72" i="1"/>
  <c r="AW75" i="1"/>
  <c r="AS82" i="1"/>
  <c r="AW85" i="1"/>
  <c r="AS92" i="1"/>
  <c r="AW95" i="1"/>
  <c r="AS102" i="1"/>
  <c r="AW105" i="1"/>
  <c r="AS112" i="1"/>
  <c r="AW115" i="1"/>
  <c r="AS122" i="1"/>
  <c r="AW125" i="1"/>
  <c r="AS132" i="1"/>
  <c r="AW135" i="1"/>
  <c r="AW159" i="1"/>
  <c r="AW169" i="1"/>
  <c r="AW179" i="1"/>
  <c r="AW189" i="1"/>
  <c r="AS203" i="1"/>
  <c r="AW52" i="1"/>
  <c r="AW62" i="1"/>
  <c r="AW72" i="1"/>
  <c r="AW82" i="1"/>
  <c r="AW92" i="1"/>
  <c r="AW102" i="1"/>
  <c r="AW112" i="1"/>
  <c r="AW122" i="1"/>
  <c r="AW132" i="1"/>
  <c r="AW156" i="1"/>
  <c r="AW166" i="1"/>
  <c r="AW176" i="1"/>
  <c r="AW186" i="1"/>
  <c r="AW196" i="1"/>
  <c r="AS207" i="1"/>
  <c r="AW54" i="1"/>
  <c r="AW49" i="1"/>
  <c r="AS197" i="1"/>
  <c r="AW200" i="1"/>
  <c r="AS63" i="1"/>
  <c r="AW66" i="1"/>
  <c r="AS73" i="1"/>
  <c r="AW76" i="1"/>
  <c r="AS83" i="1"/>
  <c r="AW86" i="1"/>
  <c r="AS93" i="1"/>
  <c r="AW96" i="1"/>
  <c r="AS103" i="1"/>
  <c r="AW106" i="1"/>
  <c r="AS113" i="1"/>
  <c r="AW116" i="1"/>
  <c r="AS123" i="1"/>
  <c r="AW126" i="1"/>
  <c r="AS133" i="1"/>
  <c r="AW136" i="1"/>
  <c r="AS157" i="1"/>
  <c r="AW160" i="1"/>
  <c r="AS167" i="1"/>
  <c r="AW170" i="1"/>
  <c r="AS177" i="1"/>
  <c r="AW180" i="1"/>
  <c r="AS187" i="1"/>
  <c r="AW190" i="1"/>
  <c r="AS204" i="1"/>
  <c r="AW5" i="1"/>
  <c r="AW25" i="1"/>
  <c r="AW31" i="1"/>
  <c r="AW11" i="1"/>
  <c r="AW37" i="1"/>
  <c r="AW9" i="1"/>
  <c r="AW35" i="1"/>
  <c r="AW27" i="1"/>
  <c r="AW7" i="1"/>
  <c r="AW33" i="1"/>
  <c r="AW13" i="1"/>
  <c r="AW207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<sst xmlns="http://schemas.openxmlformats.org/spreadsheetml/2006/main" count="3540" uniqueCount="1272">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</sst>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J1" zoomScale="80" zoomScaleNormal="80" workbookViewId="0">
      <selection activeCell="AA6" sqref="AA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0" width="32.42578125" style="74" customWidth="1"/>
    <col min="121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15</v>
      </c>
      <c r="AQ5" s="89">
        <f t="shared" ref="AQ5:AQ68" si="3">IF(AP5&gt;14,AVERAGE(K5:AO5),"")</f>
        <v>26.54</v>
      </c>
      <c r="AR5" s="89">
        <f>IFERROR(VLOOKUP(A5,Climatologia!A:U,9+$E$2,FALSE),"")</f>
        <v>26.312994914330961</v>
      </c>
      <c r="AS5" s="89">
        <f t="shared" ref="AS5:AS68" si="4">IF(OR(AQ5="",AR5=""),"",IFERROR(AQ5-AR5,""))</f>
        <v>0.22700508566903821</v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15</v>
      </c>
      <c r="AQ6" s="89">
        <f t="shared" si="3"/>
        <v>26.673333333333332</v>
      </c>
      <c r="AR6" s="89">
        <f>IFERROR(VLOOKUP(A6,Climatologia!A:U,9+$E$2,FALSE),"")</f>
        <v>26.40894902444402</v>
      </c>
      <c r="AS6" s="89">
        <f t="shared" si="4"/>
        <v>0.26438430888931208</v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15</v>
      </c>
      <c r="AQ7" s="89">
        <f t="shared" si="3"/>
        <v>27.413333333333338</v>
      </c>
      <c r="AR7" s="89">
        <f>IFERROR(VLOOKUP(A7,Climatologia!A:U,9+$E$2,FALSE),"")</f>
        <v>24.967211716722289</v>
      </c>
      <c r="AS7" s="89">
        <f t="shared" si="4"/>
        <v>2.4461216166110482</v>
      </c>
      <c r="AT7" s="90">
        <f t="shared" si="5"/>
        <v>26.3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15</v>
      </c>
      <c r="AQ8" s="89">
        <f t="shared" si="3"/>
        <v>26.306666666666668</v>
      </c>
      <c r="AR8" s="89">
        <f>IFERROR(VLOOKUP(A8,Climatologia!A:U,9+$E$2,FALSE),"")</f>
        <v>25.731714029697901</v>
      </c>
      <c r="AS8" s="89">
        <f t="shared" si="4"/>
        <v>0.57495263696876719</v>
      </c>
      <c r="AT8" s="90">
        <f t="shared" si="5"/>
        <v>25.6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5.2000000000000028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15</v>
      </c>
      <c r="AQ9" s="89">
        <f t="shared" si="3"/>
        <v>26.18</v>
      </c>
      <c r="AR9" s="89">
        <f>IFERROR(VLOOKUP(A9,Climatologia!A:U,9+$E$2,FALSE),"")</f>
        <v>24.84616941928422</v>
      </c>
      <c r="AS9" s="89">
        <f t="shared" si="4"/>
        <v>1.3338305807157802</v>
      </c>
      <c r="AT9" s="90">
        <f t="shared" si="5"/>
        <v>25.5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15</v>
      </c>
      <c r="AQ10" s="89">
        <f t="shared" si="3"/>
        <v>27.833333333333332</v>
      </c>
      <c r="AR10" s="89">
        <f>IFERROR(VLOOKUP(A10,Climatologia!A:U,9+$E$2,FALSE),"")</f>
        <v>25.91025682931615</v>
      </c>
      <c r="AS10" s="89">
        <f t="shared" si="4"/>
        <v>1.9230765040171818</v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15</v>
      </c>
      <c r="AQ11" s="89">
        <f t="shared" si="3"/>
        <v>27.326666666666664</v>
      </c>
      <c r="AR11" s="89">
        <f>IFERROR(VLOOKUP(A11,Climatologia!A:U,9+$E$2,FALSE),"")</f>
        <v>24.65002483348788</v>
      </c>
      <c r="AS11" s="89">
        <f t="shared" si="4"/>
        <v>2.6766418331787847</v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15</v>
      </c>
      <c r="AQ12" s="89">
        <f t="shared" si="3"/>
        <v>25.546666666666667</v>
      </c>
      <c r="AR12" s="89">
        <f>IFERROR(VLOOKUP(A12,Climatologia!A:U,9+$E$2,FALSE),"")</f>
        <v>23.380527878729861</v>
      </c>
      <c r="AS12" s="89">
        <f t="shared" si="4"/>
        <v>2.1661387879368057</v>
      </c>
      <c r="AT12" s="90">
        <f t="shared" si="5"/>
        <v>23.1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3.3000000000000007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15</v>
      </c>
      <c r="AQ13" s="89">
        <f t="shared" si="3"/>
        <v>24.76</v>
      </c>
      <c r="AR13" s="89">
        <f>IFERROR(VLOOKUP(A13,Climatologia!A:U,9+$E$2,FALSE),"")</f>
        <v>23.41727263096562</v>
      </c>
      <c r="AS13" s="89">
        <f t="shared" si="4"/>
        <v>1.3427273690343817</v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15</v>
      </c>
      <c r="AQ14" s="89">
        <f t="shared" si="3"/>
        <v>19.893333333333334</v>
      </c>
      <c r="AR14" s="89">
        <f>IFERROR(VLOOKUP(A14,Climatologia!A:U,9+$E$2,FALSE),"")</f>
        <v>18.607906136078171</v>
      </c>
      <c r="AS14" s="89">
        <f t="shared" si="4"/>
        <v>1.2854271972551636</v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15</v>
      </c>
      <c r="AQ15" s="89">
        <f t="shared" si="3"/>
        <v>25.066666666666666</v>
      </c>
      <c r="AR15" s="89">
        <f>IFERROR(VLOOKUP(A15,Climatologia!A:U,9+$E$2,FALSE),"")</f>
        <v>23.779123470522801</v>
      </c>
      <c r="AS15" s="89">
        <f t="shared" si="4"/>
        <v>1.287543196143865</v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15</v>
      </c>
      <c r="AQ16" s="89">
        <f t="shared" si="3"/>
        <v>25.34</v>
      </c>
      <c r="AR16" s="89">
        <f>IFERROR(VLOOKUP(A16,Climatologia!A:U,9+$E$2,FALSE),"")</f>
        <v>23.317825682382139</v>
      </c>
      <c r="AS16" s="89">
        <f t="shared" si="4"/>
        <v>2.0221743176178606</v>
      </c>
      <c r="AT16" s="90">
        <f t="shared" si="5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15</v>
      </c>
      <c r="AQ17" s="89">
        <f t="shared" si="3"/>
        <v>18.693333333333328</v>
      </c>
      <c r="AR17" s="89">
        <f>IFERROR(VLOOKUP(A17,Climatologia!A:U,9+$E$2,FALSE),"")</f>
        <v>17.48384501297738</v>
      </c>
      <c r="AS17" s="89">
        <f t="shared" si="4"/>
        <v>1.2094883203559483</v>
      </c>
      <c r="AT17" s="90">
        <f t="shared" si="5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6.1999999999999993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15</v>
      </c>
      <c r="AQ18" s="89">
        <f t="shared" si="3"/>
        <v>11.806666666666667</v>
      </c>
      <c r="AR18" s="89">
        <f>IFERROR(VLOOKUP(A18,Climatologia!A:U,9+$E$2,FALSE),"")</f>
        <v>12.078935483870969</v>
      </c>
      <c r="AS18" s="89">
        <f t="shared" si="4"/>
        <v>-0.27226881720430285</v>
      </c>
      <c r="AT18" s="90">
        <f t="shared" si="5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15</v>
      </c>
      <c r="AQ19" s="89">
        <f t="shared" si="3"/>
        <v>19.120000000000005</v>
      </c>
      <c r="AR19" s="89">
        <f>IFERROR(VLOOKUP(A19,Climatologia!A:U,9+$E$2,FALSE),"")</f>
        <v>17.615136476426802</v>
      </c>
      <c r="AS19" s="89">
        <f t="shared" si="4"/>
        <v>1.5048635235732029</v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15</v>
      </c>
      <c r="AQ20" s="89">
        <f t="shared" si="3"/>
        <v>17.906666666666663</v>
      </c>
      <c r="AR20" s="89">
        <f>IFERROR(VLOOKUP(A20,Climatologia!A:U,9+$E$2,FALSE),"")</f>
        <v>16.97514080901178</v>
      </c>
      <c r="AS20" s="89">
        <f t="shared" si="4"/>
        <v>0.93152585765488283</v>
      </c>
      <c r="AT20" s="90">
        <f t="shared" si="5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15</v>
      </c>
      <c r="AQ21" s="89">
        <f t="shared" si="3"/>
        <v>20.660000000000004</v>
      </c>
      <c r="AR21" s="89">
        <f>IFERROR(VLOOKUP(A21,Climatologia!A:U,9+$E$2,FALSE),"")</f>
        <v>19.23867916144334</v>
      </c>
      <c r="AS21" s="89">
        <f t="shared" si="4"/>
        <v>1.4213208385566638</v>
      </c>
      <c r="AT21" s="90">
        <f t="shared" si="5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15</v>
      </c>
      <c r="AQ22" s="89">
        <f t="shared" si="3"/>
        <v>9.3666666666666654</v>
      </c>
      <c r="AR22" s="89">
        <f>IFERROR(VLOOKUP(A22,Climatologia!A:U,9+$E$2,FALSE),"")</f>
        <v>8.5669829725335838</v>
      </c>
      <c r="AS22" s="89">
        <f t="shared" si="4"/>
        <v>0.7996836941330816</v>
      </c>
      <c r="AT22" s="90">
        <f t="shared" si="5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15</v>
      </c>
      <c r="AQ23" s="89">
        <f t="shared" si="3"/>
        <v>19.339999999999996</v>
      </c>
      <c r="AR23" s="89">
        <f>IFERROR(VLOOKUP(A23,Climatologia!A:U,9+$E$2,FALSE),"")</f>
        <v>18.632546225180629</v>
      </c>
      <c r="AS23" s="89">
        <f t="shared" si="4"/>
        <v>0.707453774819367</v>
      </c>
      <c r="AT23" s="90">
        <f t="shared" si="5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15</v>
      </c>
      <c r="AQ24" s="89">
        <f t="shared" si="3"/>
        <v>23.839999999999996</v>
      </c>
      <c r="AR24" s="89">
        <f>IFERROR(VLOOKUP(A24,Climatologia!A:U,9+$E$2,FALSE),"")</f>
        <v>22.755698924731181</v>
      </c>
      <c r="AS24" s="89">
        <f t="shared" si="4"/>
        <v>1.0843010752688151</v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15</v>
      </c>
      <c r="AQ25" s="89">
        <f t="shared" si="3"/>
        <v>14.919999999999998</v>
      </c>
      <c r="AR25" s="89">
        <f>IFERROR(VLOOKUP(A25,Climatologia!A:U,9+$E$2,FALSE),"")</f>
        <v>14.458778519342481</v>
      </c>
      <c r="AS25" s="89">
        <f t="shared" si="4"/>
        <v>0.46122148065751745</v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15</v>
      </c>
      <c r="AQ26" s="89">
        <f t="shared" si="3"/>
        <v>7.52</v>
      </c>
      <c r="AR26" s="89">
        <f>IFERROR(VLOOKUP(A26,Climatologia!A:U,9+$E$2,FALSE),"")</f>
        <v>5.5482835334279477</v>
      </c>
      <c r="AS26" s="89">
        <f t="shared" si="4"/>
        <v>1.9717164665720519</v>
      </c>
      <c r="AT26" s="90">
        <f t="shared" si="5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15</v>
      </c>
      <c r="AQ27" s="89">
        <f t="shared" si="3"/>
        <v>24.6</v>
      </c>
      <c r="AR27" s="89">
        <f>IFERROR(VLOOKUP(A27,Climatologia!A:U,9+$E$2,FALSE),"")</f>
        <v>23.205806451612911</v>
      </c>
      <c r="AS27" s="89">
        <f t="shared" si="4"/>
        <v>1.39419354838709</v>
      </c>
      <c r="AT27" s="90">
        <f t="shared" si="5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3.5999999999999979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15</v>
      </c>
      <c r="AQ28" s="89">
        <f t="shared" si="3"/>
        <v>23.213333333333331</v>
      </c>
      <c r="AR28" s="89">
        <f>IFERROR(VLOOKUP(A28,Climatologia!A:U,9+$E$2,FALSE),"")</f>
        <v>22.637933865990991</v>
      </c>
      <c r="AS28" s="89">
        <f t="shared" si="4"/>
        <v>0.57539946734233993</v>
      </c>
      <c r="AT28" s="90">
        <f t="shared" si="5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15</v>
      </c>
      <c r="AQ29" s="89">
        <f t="shared" si="3"/>
        <v>24.006666666666664</v>
      </c>
      <c r="AR29" s="89">
        <f>IFERROR(VLOOKUP(A29,Climatologia!A:U,9+$E$2,FALSE),"")</f>
        <v>23.3590368608799</v>
      </c>
      <c r="AS29" s="89">
        <f t="shared" si="4"/>
        <v>0.64762980578676377</v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15</v>
      </c>
      <c r="AQ30" s="89">
        <f t="shared" si="3"/>
        <v>21.126666666666665</v>
      </c>
      <c r="AR30" s="89">
        <f>IFERROR(VLOOKUP(A30,Climatologia!A:U,9+$E$2,FALSE),"")</f>
        <v>20.397956989247309</v>
      </c>
      <c r="AS30" s="89">
        <f t="shared" si="4"/>
        <v>0.72870967741935644</v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15</v>
      </c>
      <c r="AQ31" s="89">
        <f t="shared" si="3"/>
        <v>23</v>
      </c>
      <c r="AR31" s="89">
        <f>IFERROR(VLOOKUP(A31,Climatologia!A:U,9+$E$2,FALSE),"")</f>
        <v>21.59281959378734</v>
      </c>
      <c r="AS31" s="89">
        <f t="shared" si="4"/>
        <v>1.4071804062126603</v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15</v>
      </c>
      <c r="AQ32" s="89">
        <f t="shared" si="3"/>
        <v>14.226666666666665</v>
      </c>
      <c r="AR32" s="89">
        <f>IFERROR(VLOOKUP(A32,Climatologia!A:U,9+$E$2,FALSE),"")</f>
        <v>13.441294802867381</v>
      </c>
      <c r="AS32" s="89">
        <f t="shared" si="4"/>
        <v>0.78537186379928414</v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15</v>
      </c>
      <c r="AQ34" s="89">
        <f t="shared" si="3"/>
        <v>15.426666666666669</v>
      </c>
      <c r="AR34" s="89">
        <f>IFERROR(VLOOKUP(A34,Climatologia!A:U,9+$E$2,FALSE),"")</f>
        <v>14.773956247682611</v>
      </c>
      <c r="AS34" s="89">
        <f t="shared" si="4"/>
        <v>0.6527104189840589</v>
      </c>
      <c r="AT34" s="90">
        <f t="shared" si="5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15</v>
      </c>
      <c r="AQ35" s="89">
        <f t="shared" si="3"/>
        <v>14.960000000000003</v>
      </c>
      <c r="AR35" s="89">
        <f>IFERROR(VLOOKUP(A35,Climatologia!A:U,9+$E$2,FALSE),"")</f>
        <v>13.253440860215051</v>
      </c>
      <c r="AS35" s="89">
        <f t="shared" si="4"/>
        <v>1.706559139784952</v>
      </c>
      <c r="AT35" s="90">
        <f t="shared" si="5"/>
        <v>13.8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4.6000000000000014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15</v>
      </c>
      <c r="AQ36" s="89">
        <f t="shared" si="3"/>
        <v>19.280000000000005</v>
      </c>
      <c r="AR36" s="89">
        <f>IFERROR(VLOOKUP(A36,Climatologia!A:U,9+$E$2,FALSE),"")</f>
        <v>19.581162337847541</v>
      </c>
      <c r="AS36" s="89">
        <f t="shared" si="4"/>
        <v>-0.30116233784753632</v>
      </c>
      <c r="AT36" s="90">
        <f t="shared" si="5"/>
        <v>17.2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2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15</v>
      </c>
      <c r="AQ37" s="89">
        <f t="shared" si="3"/>
        <v>9.4533333333333314</v>
      </c>
      <c r="AR37" s="89">
        <f>IFERROR(VLOOKUP(A37,Climatologia!A:U,9+$E$2,FALSE),"")</f>
        <v>9.3349769585253455</v>
      </c>
      <c r="AS37" s="89">
        <f t="shared" si="4"/>
        <v>0.11835637480798589</v>
      </c>
      <c r="AT37" s="90">
        <f t="shared" si="5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15</v>
      </c>
      <c r="AQ38" s="89">
        <f t="shared" si="3"/>
        <v>17.106666666666669</v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15</v>
      </c>
      <c r="AQ39" s="89">
        <f t="shared" si="3"/>
        <v>19.133333333333333</v>
      </c>
      <c r="AR39" s="89">
        <f>IFERROR(VLOOKUP(A39,Climatologia!A:U,9+$E$2,FALSE),"")</f>
        <v>17.20506668314588</v>
      </c>
      <c r="AS39" s="89">
        <f t="shared" si="4"/>
        <v>1.928266650187453</v>
      </c>
      <c r="AT39" s="90">
        <f t="shared" si="5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15</v>
      </c>
      <c r="AQ40" s="89">
        <f t="shared" si="3"/>
        <v>14.359999999999998</v>
      </c>
      <c r="AR40" s="89">
        <f>IFERROR(VLOOKUP(A40,Climatologia!A:U,9+$E$2,FALSE),"")</f>
        <v>12.94546489563567</v>
      </c>
      <c r="AS40" s="89">
        <f t="shared" si="4"/>
        <v>1.4145351043643277</v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15</v>
      </c>
      <c r="AQ41" s="89">
        <f t="shared" si="3"/>
        <v>24.666666666666671</v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14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15</v>
      </c>
      <c r="AQ43" s="89">
        <f t="shared" si="3"/>
        <v>24.393333333333331</v>
      </c>
      <c r="AR43" s="89">
        <f>IFERROR(VLOOKUP(A43,Climatologia!A:U,9+$E$2,FALSE),"")</f>
        <v>23.70475716371773</v>
      </c>
      <c r="AS43" s="89">
        <f t="shared" si="4"/>
        <v>0.68857616961560097</v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15</v>
      </c>
      <c r="AQ44" s="89">
        <f t="shared" si="3"/>
        <v>24.573333333333331</v>
      </c>
      <c r="AR44" s="89">
        <f>IFERROR(VLOOKUP(A44,Climatologia!A:U,9+$E$2,FALSE),"")</f>
        <v>23.278211411491501</v>
      </c>
      <c r="AS44" s="89">
        <f t="shared" si="4"/>
        <v>1.2951219218418295</v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15</v>
      </c>
      <c r="AQ47" s="89">
        <f t="shared" si="3"/>
        <v>25.36</v>
      </c>
      <c r="AR47" s="89">
        <f>IFERROR(VLOOKUP(A47,Climatologia!A:U,9+$E$2,FALSE),"")</f>
        <v>23.077912101041139</v>
      </c>
      <c r="AS47" s="89">
        <f t="shared" si="4"/>
        <v>2.28208789895886</v>
      </c>
      <c r="AT47" s="90">
        <f t="shared" si="5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15</v>
      </c>
      <c r="AQ49" s="89">
        <f t="shared" si="3"/>
        <v>24.346666666666668</v>
      </c>
      <c r="AR49" s="89">
        <f>IFERROR(VLOOKUP(A49,Climatologia!A:U,9+$E$2,FALSE),"")</f>
        <v>23.449985001525519</v>
      </c>
      <c r="AS49" s="89">
        <f t="shared" si="4"/>
        <v>0.89668166514114844</v>
      </c>
      <c r="AT49" s="90">
        <f t="shared" si="5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15</v>
      </c>
      <c r="AQ51" s="89">
        <f t="shared" si="3"/>
        <v>25.133333333333329</v>
      </c>
      <c r="AR51" s="89">
        <f>IFERROR(VLOOKUP(A51,Climatologia!A:U,9+$E$2,FALSE),"")</f>
        <v>23.209114934289129</v>
      </c>
      <c r="AS51" s="89">
        <f t="shared" si="4"/>
        <v>1.9242183990442001</v>
      </c>
      <c r="AT51" s="90">
        <f t="shared" si="5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15</v>
      </c>
      <c r="AQ52" s="89">
        <f t="shared" si="3"/>
        <v>25.373333333333335</v>
      </c>
      <c r="AR52" s="89">
        <f>IFERROR(VLOOKUP(A52,Climatologia!A:U,9+$E$2,FALSE),"")</f>
        <v>22.730537765699061</v>
      </c>
      <c r="AS52" s="89">
        <f t="shared" si="4"/>
        <v>2.6427955676342734</v>
      </c>
      <c r="AT52" s="90">
        <f t="shared" si="5"/>
        <v>23.8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5.4000000000000021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10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24.4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5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15</v>
      </c>
      <c r="AQ54" s="89">
        <f t="shared" si="3"/>
        <v>23.259999999999998</v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15</v>
      </c>
      <c r="AQ57" s="89">
        <f t="shared" si="3"/>
        <v>25.080000000000002</v>
      </c>
      <c r="AR57" s="89">
        <f>IFERROR(VLOOKUP(A57,Climatologia!A:U,9+$E$2,FALSE),"")</f>
        <v>23.929337221065921</v>
      </c>
      <c r="AS57" s="89">
        <f t="shared" si="4"/>
        <v>1.1506627789340804</v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/>
      <c r="V58" s="51"/>
      <c r="W58" s="51"/>
      <c r="X58" s="51">
        <v>23.6</v>
      </c>
      <c r="Y58" s="51">
        <v>23.4</v>
      </c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12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15</v>
      </c>
      <c r="AQ60" s="89">
        <f t="shared" si="3"/>
        <v>22.266666666666662</v>
      </c>
      <c r="AR60" s="89">
        <f>IFERROR(VLOOKUP(A60,Climatologia!A:U,9+$E$2,FALSE),"")</f>
        <v>21.335368281215381</v>
      </c>
      <c r="AS60" s="89">
        <f t="shared" si="4"/>
        <v>0.93129838545128152</v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7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15</v>
      </c>
      <c r="AQ64" s="89">
        <f t="shared" si="3"/>
        <v>22.626666666666669</v>
      </c>
      <c r="AR64" s="89">
        <f>IFERROR(VLOOKUP(A64,Climatologia!A:U,9+$E$2,FALSE),"")</f>
        <v>21.690749245193071</v>
      </c>
      <c r="AS64" s="89">
        <f t="shared" si="4"/>
        <v>0.93591742147359724</v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>
        <v>22.6</v>
      </c>
      <c r="T65" s="51">
        <v>21.8</v>
      </c>
      <c r="U65" s="51"/>
      <c r="V65" s="51">
        <v>23</v>
      </c>
      <c r="W65" s="51">
        <v>21.8</v>
      </c>
      <c r="X65" s="51">
        <v>22.4</v>
      </c>
      <c r="Y65" s="51">
        <v>22.8</v>
      </c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13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15</v>
      </c>
      <c r="AQ67" s="89">
        <f t="shared" si="3"/>
        <v>20.206666666666667</v>
      </c>
      <c r="AR67" s="89">
        <f>IFERROR(VLOOKUP(A67,Climatologia!A:U,9+$E$2,FALSE),"")</f>
        <v>21.093190044711658</v>
      </c>
      <c r="AS67" s="89">
        <f t="shared" si="4"/>
        <v>-0.88652337804499126</v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14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/>
      <c r="W69" s="51"/>
      <c r="X69" s="51">
        <v>21.2</v>
      </c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11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15</v>
      </c>
      <c r="AQ70" s="89">
        <f t="shared" si="8"/>
        <v>22.999999999999996</v>
      </c>
      <c r="AR70" s="89">
        <f>IFERROR(VLOOKUP(A70,Climatologia!A:U,9+$E$2,FALSE),"")</f>
        <v>22.364932118308101</v>
      </c>
      <c r="AS70" s="89">
        <f t="shared" si="9"/>
        <v>0.63506788169189576</v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/>
      <c r="W71" s="51">
        <v>23.1</v>
      </c>
      <c r="X71" s="51">
        <v>23</v>
      </c>
      <c r="Y71" s="51">
        <v>23</v>
      </c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14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/>
      <c r="Y72" s="51">
        <v>21.8</v>
      </c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11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1.6000000000000014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14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15</v>
      </c>
      <c r="AQ74" s="89">
        <f t="shared" si="8"/>
        <v>12.386666666666665</v>
      </c>
      <c r="AR74" s="89">
        <f>IFERROR(VLOOKUP(A74,Climatologia!A:U,9+$E$2,FALSE),"")</f>
        <v>11.80563736724846</v>
      </c>
      <c r="AS74" s="89">
        <f t="shared" si="9"/>
        <v>0.58102929941820491</v>
      </c>
      <c r="AT74" s="90">
        <f t="shared" si="10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15</v>
      </c>
      <c r="AQ75" s="89">
        <f t="shared" si="8"/>
        <v>16.720000000000002</v>
      </c>
      <c r="AR75" s="89">
        <f>IFERROR(VLOOKUP(A75,Climatologia!A:U,9+$E$2,FALSE),"")</f>
        <v>15.64745715221115</v>
      </c>
      <c r="AS75" s="89">
        <f t="shared" si="9"/>
        <v>1.0725428477888528</v>
      </c>
      <c r="AT75" s="90">
        <f t="shared" si="10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15</v>
      </c>
      <c r="AQ76" s="89">
        <f t="shared" si="8"/>
        <v>16.64</v>
      </c>
      <c r="AR76" s="89">
        <f>IFERROR(VLOOKUP(A76,Climatologia!A:U,9+$E$2,FALSE),"")</f>
        <v>18.21514905534578</v>
      </c>
      <c r="AS76" s="89">
        <f t="shared" si="9"/>
        <v>-1.5751490553457792</v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15</v>
      </c>
      <c r="AQ77" s="89">
        <f t="shared" si="8"/>
        <v>25.880000000000003</v>
      </c>
      <c r="AR77" s="89">
        <f>IFERROR(VLOOKUP(A77,Climatologia!A:U,9+$E$2,FALSE),"")</f>
        <v>23.98594554377442</v>
      </c>
      <c r="AS77" s="89">
        <f t="shared" si="9"/>
        <v>1.8940544562255823</v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13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13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13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11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15</v>
      </c>
      <c r="AQ84" s="89">
        <f t="shared" si="8"/>
        <v>26.146666666666661</v>
      </c>
      <c r="AR84" s="89">
        <f>IFERROR(VLOOKUP(A84,Climatologia!A:U,9+$E$2,FALSE),"")</f>
        <v>23.66046866958937</v>
      </c>
      <c r="AS84" s="89">
        <f t="shared" si="9"/>
        <v>2.4861979970772907</v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15</v>
      </c>
      <c r="AQ85" s="89">
        <f t="shared" si="8"/>
        <v>25.279999999999998</v>
      </c>
      <c r="AR85" s="89">
        <f>IFERROR(VLOOKUP(A85,Climatologia!A:U,9+$E$2,FALSE),"")</f>
        <v>23.305497603590929</v>
      </c>
      <c r="AS85" s="89">
        <f t="shared" si="9"/>
        <v>1.9745023964090684</v>
      </c>
      <c r="AT85" s="90">
        <f t="shared" si="10"/>
        <v>24.4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5.5999999999999979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15</v>
      </c>
      <c r="AQ86" s="89">
        <f t="shared" si="8"/>
        <v>21.706666666666671</v>
      </c>
      <c r="AR86" s="89">
        <f>IFERROR(VLOOKUP(A86,Climatologia!A:U,9+$E$2,FALSE),"")</f>
        <v>22.830460829493081</v>
      </c>
      <c r="AS86" s="89">
        <f t="shared" si="9"/>
        <v>-1.1237941628264103</v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13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15</v>
      </c>
      <c r="AQ88" s="89">
        <f t="shared" si="8"/>
        <v>27.200000000000006</v>
      </c>
      <c r="AR88" s="89">
        <f>IFERROR(VLOOKUP(A88,Climatologia!A:U,9+$E$2,FALSE),"")</f>
        <v>23.447051220933311</v>
      </c>
      <c r="AS88" s="89">
        <f t="shared" si="9"/>
        <v>3.7529487790666956</v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>
        <v>12.4</v>
      </c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15</v>
      </c>
      <c r="AQ89" s="89">
        <f t="shared" si="8"/>
        <v>12.573333333333334</v>
      </c>
      <c r="AR89" s="89">
        <f>IFERROR(VLOOKUP(A89,Climatologia!A:U,9+$E$2,FALSE),"")</f>
        <v>11.21</v>
      </c>
      <c r="AS89" s="89">
        <f t="shared" si="9"/>
        <v>1.3633333333333333</v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>
        <v>18.2</v>
      </c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15</v>
      </c>
      <c r="AQ90" s="89">
        <f t="shared" si="8"/>
        <v>17.773333333333333</v>
      </c>
      <c r="AR90" s="89">
        <f>IFERROR(VLOOKUP(A90,Climatologia!A:U,9+$E$2,FALSE),"")</f>
        <v>17.613159782779519</v>
      </c>
      <c r="AS90" s="89">
        <f t="shared" si="9"/>
        <v>0.16017355055381444</v>
      </c>
      <c r="AT90" s="90">
        <f t="shared" si="10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>
        <v>10.8</v>
      </c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15</v>
      </c>
      <c r="AQ91" s="89">
        <f t="shared" si="8"/>
        <v>11.293333333333333</v>
      </c>
      <c r="AR91" s="89">
        <f>IFERROR(VLOOKUP(A91,Climatologia!A:U,9+$E$2,FALSE),"")</f>
        <v>11.47881802826185</v>
      </c>
      <c r="AS91" s="89">
        <f t="shared" si="9"/>
        <v>-0.18548469492851716</v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>
        <v>11.6</v>
      </c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15</v>
      </c>
      <c r="AQ92" s="89">
        <f t="shared" si="8"/>
        <v>10.373333333333333</v>
      </c>
      <c r="AR92" s="89">
        <f>IFERROR(VLOOKUP(A92,Climatologia!A:U,9+$E$2,FALSE),"")</f>
        <v>8.9015099398191726</v>
      </c>
      <c r="AS92" s="89">
        <f t="shared" si="9"/>
        <v>1.4718233935141605</v>
      </c>
      <c r="AT92" s="90">
        <f t="shared" si="10"/>
        <v>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10.4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>
        <v>10.8</v>
      </c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15</v>
      </c>
      <c r="AQ95" s="89">
        <f t="shared" si="8"/>
        <v>8.1733333333333338</v>
      </c>
      <c r="AR95" s="89">
        <f>IFERROR(VLOOKUP(A95,Climatologia!A:U,9+$E$2,FALSE),"")</f>
        <v>7.2926861266282854</v>
      </c>
      <c r="AS95" s="89">
        <f t="shared" si="9"/>
        <v>0.88064720670504837</v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>
        <v>8.8000000000000007</v>
      </c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14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>
        <v>12.8</v>
      </c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12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5.2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6.6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>
        <v>10.4</v>
      </c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11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>
        <v>5.2</v>
      </c>
      <c r="X99" s="51">
        <v>5.2</v>
      </c>
      <c r="Y99" s="51">
        <v>10.199999999999999</v>
      </c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14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5.2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>
        <v>12</v>
      </c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13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>
        <v>4.2</v>
      </c>
      <c r="Y103" s="51">
        <v>7.2</v>
      </c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9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4.2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>
        <v>10</v>
      </c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15</v>
      </c>
      <c r="AQ104" s="89">
        <f t="shared" si="8"/>
        <v>6.6266666666666669</v>
      </c>
      <c r="AR104" s="89">
        <f>IFERROR(VLOOKUP(A104,Climatologia!A:U,9+$E$2,FALSE),"")</f>
        <v>6.7483058935476308</v>
      </c>
      <c r="AS104" s="89">
        <f t="shared" si="9"/>
        <v>-0.12163922688096385</v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>
        <v>11.4</v>
      </c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15</v>
      </c>
      <c r="AQ105" s="89">
        <f t="shared" si="8"/>
        <v>11.213333333333335</v>
      </c>
      <c r="AR105" s="89">
        <f>IFERROR(VLOOKUP(A105,Climatologia!A:U,9+$E$2,FALSE),"")</f>
        <v>10.11868743047831</v>
      </c>
      <c r="AS105" s="89">
        <f t="shared" si="9"/>
        <v>1.0946459028550244</v>
      </c>
      <c r="AT105" s="90">
        <f t="shared" si="10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>
        <v>14.4</v>
      </c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15</v>
      </c>
      <c r="AQ106" s="89">
        <f t="shared" si="8"/>
        <v>14.04</v>
      </c>
      <c r="AR106" s="89">
        <f>IFERROR(VLOOKUP(A106,Climatologia!A:U,9+$E$2,FALSE),"")</f>
        <v>13.701938132316331</v>
      </c>
      <c r="AS106" s="89">
        <f t="shared" si="9"/>
        <v>0.33806186768366864</v>
      </c>
      <c r="AT106" s="90">
        <f t="shared" si="10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>
        <v>13.2</v>
      </c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15</v>
      </c>
      <c r="AQ107" s="89">
        <f t="shared" si="8"/>
        <v>12.58</v>
      </c>
      <c r="AR107" s="89">
        <f>IFERROR(VLOOKUP(A107,Climatologia!A:U,9+$E$2,FALSE),"")</f>
        <v>11.932798761909369</v>
      </c>
      <c r="AS107" s="89">
        <f t="shared" si="9"/>
        <v>0.64720123809063068</v>
      </c>
      <c r="AT107" s="90">
        <f t="shared" si="10"/>
        <v>10.8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4.6000000000000005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>
        <v>15.2</v>
      </c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15</v>
      </c>
      <c r="AQ108" s="89">
        <f t="shared" si="8"/>
        <v>14.426666666666668</v>
      </c>
      <c r="AR108" s="89">
        <f>IFERROR(VLOOKUP(A108,Climatologia!A:U,9+$E$2,FALSE),"")</f>
        <v>13.551301836348379</v>
      </c>
      <c r="AS108" s="89">
        <f t="shared" si="9"/>
        <v>0.87536483031828816</v>
      </c>
      <c r="AT108" s="90">
        <f t="shared" si="10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>
        <v>15.2</v>
      </c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15</v>
      </c>
      <c r="AQ109" s="89">
        <f t="shared" si="8"/>
        <v>15.386666666666663</v>
      </c>
      <c r="AR109" s="89">
        <f>IFERROR(VLOOKUP(A109,Climatologia!A:U,9+$E$2,FALSE),"")</f>
        <v>13.61231765453679</v>
      </c>
      <c r="AS109" s="89">
        <f t="shared" si="9"/>
        <v>1.7743490121298731</v>
      </c>
      <c r="AT109" s="90">
        <f t="shared" si="10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9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>
        <v>24</v>
      </c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15</v>
      </c>
      <c r="AQ111" s="89">
        <f t="shared" si="8"/>
        <v>22.846666666666671</v>
      </c>
      <c r="AR111" s="89">
        <f>IFERROR(VLOOKUP(A111,Climatologia!A:U,9+$E$2,FALSE),"")</f>
        <v>22.231405456385989</v>
      </c>
      <c r="AS111" s="89">
        <f t="shared" si="9"/>
        <v>0.61526121028068204</v>
      </c>
      <c r="AT111" s="90">
        <f t="shared" si="10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>
        <v>14.2</v>
      </c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14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>
        <v>20.399999999999999</v>
      </c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15</v>
      </c>
      <c r="AQ113" s="89">
        <f t="shared" si="8"/>
        <v>19.439999999999998</v>
      </c>
      <c r="AR113" s="89">
        <f>IFERROR(VLOOKUP(A113,Climatologia!A:U,9+$E$2,FALSE),"")</f>
        <v>21.8744421098889</v>
      </c>
      <c r="AS113" s="89">
        <f t="shared" si="9"/>
        <v>-2.4344421098889022</v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14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>
        <v>20.2</v>
      </c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15</v>
      </c>
      <c r="AQ115" s="89">
        <f t="shared" si="8"/>
        <v>20.053333333333331</v>
      </c>
      <c r="AR115" s="89">
        <f>IFERROR(VLOOKUP(A115,Climatologia!A:U,9+$E$2,FALSE),"")</f>
        <v>18.265873654442618</v>
      </c>
      <c r="AS115" s="89">
        <f t="shared" si="9"/>
        <v>1.7874596788907127</v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>
        <v>22.4</v>
      </c>
      <c r="Y116" s="51">
        <v>24.4</v>
      </c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12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>
        <v>7</v>
      </c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15</v>
      </c>
      <c r="AQ118" s="89">
        <f t="shared" si="8"/>
        <v>8.5200000000000014</v>
      </c>
      <c r="AR118" s="89">
        <f>IFERROR(VLOOKUP(A118,Climatologia!A:U,9+$E$2,FALSE),"")</f>
        <v>6.6382228524164031</v>
      </c>
      <c r="AS118" s="89">
        <f t="shared" si="9"/>
        <v>1.8817771475835983</v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>
        <v>11.5</v>
      </c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14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>
        <v>9.4</v>
      </c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15</v>
      </c>
      <c r="AQ122" s="89">
        <f t="shared" si="8"/>
        <v>9.4666666666666686</v>
      </c>
      <c r="AR122" s="89">
        <f>IFERROR(VLOOKUP(A122,Climatologia!A:U,9+$E$2,FALSE),"")</f>
        <v>8.088075663695717</v>
      </c>
      <c r="AS122" s="89">
        <f t="shared" si="9"/>
        <v>1.3785910029709516</v>
      </c>
      <c r="AT122" s="90">
        <f t="shared" si="10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>
        <v>13.2</v>
      </c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15</v>
      </c>
      <c r="AQ125" s="89">
        <f t="shared" si="8"/>
        <v>12.979999999999999</v>
      </c>
      <c r="AR125" s="89">
        <f>IFERROR(VLOOKUP(A125,Climatologia!A:U,9+$E$2,FALSE),"")</f>
        <v>11.599107526881721</v>
      </c>
      <c r="AS125" s="89">
        <f t="shared" si="9"/>
        <v>1.3808924731182781</v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>
        <v>14.2</v>
      </c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15</v>
      </c>
      <c r="AQ126" s="89">
        <f t="shared" si="8"/>
        <v>14.453333333333335</v>
      </c>
      <c r="AR126" s="89">
        <f>IFERROR(VLOOKUP(A126,Climatologia!A:U,9+$E$2,FALSE),"")</f>
        <v>13.19300778642936</v>
      </c>
      <c r="AS126" s="89">
        <f t="shared" si="9"/>
        <v>1.2603255469039745</v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>
        <v>11.8</v>
      </c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15</v>
      </c>
      <c r="AQ128" s="89">
        <f t="shared" si="8"/>
        <v>11.353333333333333</v>
      </c>
      <c r="AR128" s="89">
        <f>IFERROR(VLOOKUP(A128,Climatologia!A:U,9+$E$2,FALSE),"")</f>
        <v>9.339817613927293</v>
      </c>
      <c r="AS128" s="89">
        <f t="shared" si="9"/>
        <v>2.0135157194060405</v>
      </c>
      <c r="AT128" s="90">
        <f t="shared" si="10"/>
        <v>9.8000000000000007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5.2000000000000011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>
        <v>11</v>
      </c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14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>
        <v>17</v>
      </c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15</v>
      </c>
      <c r="AQ130" s="89">
        <f t="shared" si="8"/>
        <v>16.239999999999998</v>
      </c>
      <c r="AR130" s="89">
        <f>IFERROR(VLOOKUP(A130,Climatologia!A:U,9+$E$2,FALSE),"")</f>
        <v>14.704271801089879</v>
      </c>
      <c r="AS130" s="89">
        <f t="shared" si="9"/>
        <v>1.5357281989101192</v>
      </c>
      <c r="AT130" s="90">
        <f t="shared" si="10"/>
        <v>15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>
        <v>15</v>
      </c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15</v>
      </c>
      <c r="AQ133" s="89">
        <f t="shared" ref="AQ133:AQ196" si="13">IF(AP133&gt;14,AVERAGE(K133:AO133),"")</f>
        <v>15.306666666666668</v>
      </c>
      <c r="AR133" s="89">
        <f>IFERROR(VLOOKUP(A133,Climatologia!A:U,9+$E$2,FALSE),"")</f>
        <v>13.71360869121677</v>
      </c>
      <c r="AS133" s="89">
        <f t="shared" ref="AS133:AS196" si="14">IF(OR(AQ133="",AR133=""),"",IFERROR(AQ133-AR133,""))</f>
        <v>1.5930579754498986</v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>
        <v>8.8000000000000007</v>
      </c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15</v>
      </c>
      <c r="AQ134" s="89">
        <f t="shared" si="13"/>
        <v>10.560000000000002</v>
      </c>
      <c r="AR134" s="89">
        <f>IFERROR(VLOOKUP(A134,Climatologia!A:U,9+$E$2,FALSE),"")</f>
        <v>9.1551700301922789</v>
      </c>
      <c r="AS134" s="89">
        <f t="shared" si="14"/>
        <v>1.4048299698077233</v>
      </c>
      <c r="AT134" s="90">
        <f t="shared" si="15"/>
        <v>8.8000000000000007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3.8000000000000007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>
        <v>11.6</v>
      </c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15</v>
      </c>
      <c r="AQ136" s="89">
        <f t="shared" si="13"/>
        <v>10.719999999999999</v>
      </c>
      <c r="AR136" s="89">
        <f>IFERROR(VLOOKUP(A136,Climatologia!A:U,9+$E$2,FALSE),"")</f>
        <v>8.9132299851098509</v>
      </c>
      <c r="AS136" s="89">
        <f t="shared" si="14"/>
        <v>1.806770014890148</v>
      </c>
      <c r="AT136" s="90">
        <f t="shared" si="15"/>
        <v>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4.9000000000000004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>
        <v>8.6</v>
      </c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15</v>
      </c>
      <c r="AQ137" s="89">
        <f t="shared" si="13"/>
        <v>8.4933333333333323</v>
      </c>
      <c r="AR137" s="89">
        <f>IFERROR(VLOOKUP(A137,Climatologia!A:U,9+$E$2,FALSE),"")</f>
        <v>6.7529781105990789</v>
      </c>
      <c r="AS137" s="89">
        <f t="shared" si="14"/>
        <v>1.7403552227342534</v>
      </c>
      <c r="AT137" s="90">
        <f t="shared" si="15"/>
        <v>7.2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5.6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>
        <v>24.4</v>
      </c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15</v>
      </c>
      <c r="AQ138" s="89">
        <f t="shared" si="13"/>
        <v>24.546666666666667</v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>
        <v>11</v>
      </c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15</v>
      </c>
      <c r="AQ139" s="89">
        <f t="shared" si="13"/>
        <v>11.333333333333334</v>
      </c>
      <c r="AR139" s="89">
        <f>IFERROR(VLOOKUP(A139,Climatologia!A:U,9+$E$2,FALSE),"")</f>
        <v>11.20513978494624</v>
      </c>
      <c r="AS139" s="89">
        <f t="shared" si="14"/>
        <v>0.12819354838709351</v>
      </c>
      <c r="AT139" s="90">
        <f t="shared" si="15"/>
        <v>10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7.4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>
        <v>15.8</v>
      </c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15</v>
      </c>
      <c r="AQ140" s="89">
        <f t="shared" si="13"/>
        <v>15.12</v>
      </c>
      <c r="AR140" s="89">
        <f>IFERROR(VLOOKUP(A140,Climatologia!A:U,9+$E$2,FALSE),"")</f>
        <v>14.402137736815151</v>
      </c>
      <c r="AS140" s="89">
        <f t="shared" si="14"/>
        <v>0.71786226318484836</v>
      </c>
      <c r="AT140" s="90">
        <f t="shared" si="15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14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>
        <v>20.399999999999999</v>
      </c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15</v>
      </c>
      <c r="AQ142" s="89">
        <f t="shared" si="13"/>
        <v>19.880000000000003</v>
      </c>
      <c r="AR142" s="89">
        <f>IFERROR(VLOOKUP(A142,Climatologia!A:U,9+$E$2,FALSE),"")</f>
        <v>19.025806451612901</v>
      </c>
      <c r="AS142" s="89">
        <f t="shared" si="14"/>
        <v>0.85419354838710149</v>
      </c>
      <c r="AT142" s="90">
        <f t="shared" si="15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>
        <v>25.2</v>
      </c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15</v>
      </c>
      <c r="AQ143" s="89">
        <f t="shared" si="13"/>
        <v>24.186666666666667</v>
      </c>
      <c r="AR143" s="89">
        <f>IFERROR(VLOOKUP(A143,Climatologia!A:U,9+$E$2,FALSE),"")</f>
        <v>23.058077373350361</v>
      </c>
      <c r="AS143" s="89">
        <f t="shared" si="14"/>
        <v>1.1285892933163062</v>
      </c>
      <c r="AT143" s="90">
        <f t="shared" si="15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>
        <v>15.6</v>
      </c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15</v>
      </c>
      <c r="AQ144" s="89">
        <f t="shared" si="13"/>
        <v>16.866666666666667</v>
      </c>
      <c r="AR144" s="89">
        <f>IFERROR(VLOOKUP(A144,Climatologia!A:U,9+$E$2,FALSE),"")</f>
        <v>15.740161290322581</v>
      </c>
      <c r="AS144" s="89">
        <f t="shared" si="14"/>
        <v>1.1265053763440864</v>
      </c>
      <c r="AT144" s="90">
        <f t="shared" si="15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>
        <v>13.2</v>
      </c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15</v>
      </c>
      <c r="AQ145" s="89">
        <f t="shared" si="13"/>
        <v>13.306666666666665</v>
      </c>
      <c r="AR145" s="89">
        <f>IFERROR(VLOOKUP(A145,Climatologia!A:U,9+$E$2,FALSE),"")</f>
        <v>13.803722366927129</v>
      </c>
      <c r="AS145" s="89">
        <f t="shared" si="14"/>
        <v>-0.49705570026046431</v>
      </c>
      <c r="AT145" s="90">
        <f t="shared" si="15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>
        <v>17</v>
      </c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15</v>
      </c>
      <c r="AQ146" s="89">
        <f t="shared" si="13"/>
        <v>16.399999999999999</v>
      </c>
      <c r="AR146" s="89">
        <f>IFERROR(VLOOKUP(A146,Climatologia!A:U,9+$E$2,FALSE),"")</f>
        <v>14.51408071669195</v>
      </c>
      <c r="AS146" s="89">
        <f t="shared" si="14"/>
        <v>1.8859192833080485</v>
      </c>
      <c r="AT146" s="90">
        <f t="shared" si="15"/>
        <v>15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4.5999999999999996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>
        <v>25.8</v>
      </c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15</v>
      </c>
      <c r="AQ149" s="89">
        <f t="shared" si="13"/>
        <v>24.806666666666665</v>
      </c>
      <c r="AR149" s="89">
        <f>IFERROR(VLOOKUP(A149,Climatologia!A:U,9+$E$2,FALSE),"")</f>
        <v>22.18387110738724</v>
      </c>
      <c r="AS149" s="89">
        <f t="shared" si="14"/>
        <v>2.6227955592794245</v>
      </c>
      <c r="AT149" s="90">
        <f t="shared" si="15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12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>
        <v>14.8</v>
      </c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14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>
        <v>19.2</v>
      </c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15</v>
      </c>
      <c r="AQ152" s="89">
        <f t="shared" si="13"/>
        <v>20.253333333333334</v>
      </c>
      <c r="AR152" s="89">
        <f>IFERROR(VLOOKUP(A152,Climatologia!A:U,9+$E$2,FALSE),"")</f>
        <v>19.338408533503909</v>
      </c>
      <c r="AS152" s="89">
        <f t="shared" si="14"/>
        <v>0.91492479982942498</v>
      </c>
      <c r="AT152" s="90">
        <f t="shared" si="15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>
        <v>16.600000000000001</v>
      </c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15</v>
      </c>
      <c r="AQ153" s="89">
        <f t="shared" si="13"/>
        <v>16.173333333333332</v>
      </c>
      <c r="AR153" s="89">
        <f>IFERROR(VLOOKUP(A153,Climatologia!A:U,9+$E$2,FALSE),"")</f>
        <v>15.46093670134405</v>
      </c>
      <c r="AS153" s="89">
        <f t="shared" si="14"/>
        <v>0.71239663198928227</v>
      </c>
      <c r="AT153" s="90">
        <f t="shared" si="15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>
        <v>18.399999999999999</v>
      </c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15</v>
      </c>
      <c r="AQ154" s="89">
        <f t="shared" si="13"/>
        <v>18.64</v>
      </c>
      <c r="AR154" s="89">
        <f>IFERROR(VLOOKUP(A154,Climatologia!A:U,9+$E$2,FALSE),"")</f>
        <v>17.87864592645921</v>
      </c>
      <c r="AS154" s="89">
        <f t="shared" si="14"/>
        <v>0.76135407354079021</v>
      </c>
      <c r="AT154" s="90">
        <f t="shared" si="15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>
        <v>9.1999999999999993</v>
      </c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15</v>
      </c>
      <c r="AQ156" s="89">
        <f t="shared" si="13"/>
        <v>10.453333333333331</v>
      </c>
      <c r="AR156" s="89">
        <f>IFERROR(VLOOKUP(A156,Climatologia!A:U,9+$E$2,FALSE),"")</f>
        <v>9.5855913978494645</v>
      </c>
      <c r="AS156" s="89">
        <f t="shared" si="14"/>
        <v>0.86774193548386691</v>
      </c>
      <c r="AT156" s="90">
        <f t="shared" si="15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>
        <v>13.6</v>
      </c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14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>
        <v>20.8</v>
      </c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15</v>
      </c>
      <c r="AQ158" s="89">
        <f t="shared" si="13"/>
        <v>20.933333333333334</v>
      </c>
      <c r="AR158" s="89">
        <f>IFERROR(VLOOKUP(A158,Climatologia!A:U,9+$E$2,FALSE),"")</f>
        <v>19.834386821064239</v>
      </c>
      <c r="AS158" s="89">
        <f t="shared" si="14"/>
        <v>1.0989465122690945</v>
      </c>
      <c r="AT158" s="90">
        <f t="shared" si="15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>
        <v>6.2</v>
      </c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15</v>
      </c>
      <c r="AQ159" s="89">
        <f t="shared" si="13"/>
        <v>6.6266666666666669</v>
      </c>
      <c r="AR159" s="89">
        <f>IFERROR(VLOOKUP(A159,Climatologia!A:U,9+$E$2,FALSE),"")</f>
        <v>5.6003137960461657</v>
      </c>
      <c r="AS159" s="89">
        <f t="shared" si="14"/>
        <v>1.0263528706205012</v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>
        <v>20</v>
      </c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12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>
        <v>15</v>
      </c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15</v>
      </c>
      <c r="AQ161" s="89">
        <f t="shared" si="13"/>
        <v>15</v>
      </c>
      <c r="AR161" s="89">
        <f>IFERROR(VLOOKUP(A161,Climatologia!A:U,9+$E$2,FALSE),"")</f>
        <v>13.818785782119109</v>
      </c>
      <c r="AS161" s="89">
        <f t="shared" si="14"/>
        <v>1.1812142178808909</v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>
        <v>18</v>
      </c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14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>
        <v>19</v>
      </c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15</v>
      </c>
      <c r="AQ163" s="89">
        <f t="shared" si="13"/>
        <v>19.84</v>
      </c>
      <c r="AR163" s="89">
        <f>IFERROR(VLOOKUP(A163,Climatologia!A:U,9+$E$2,FALSE),"")</f>
        <v>19.115674945265461</v>
      </c>
      <c r="AS163" s="89">
        <f t="shared" si="14"/>
        <v>0.72432505473453901</v>
      </c>
      <c r="AT163" s="90">
        <f t="shared" si="15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>
        <v>10.8</v>
      </c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15</v>
      </c>
      <c r="AQ164" s="89">
        <f t="shared" si="13"/>
        <v>10.426666666666668</v>
      </c>
      <c r="AR164" s="89">
        <f>IFERROR(VLOOKUP(A164,Climatologia!A:U,9+$E$2,FALSE),"")</f>
        <v>8.3170988717622762</v>
      </c>
      <c r="AS164" s="89">
        <f t="shared" si="14"/>
        <v>2.1095677949043914</v>
      </c>
      <c r="AT164" s="90">
        <f t="shared" si="15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>
        <v>19</v>
      </c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13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>
        <v>18.600000000000001</v>
      </c>
      <c r="Y168" s="51">
        <v>18.8</v>
      </c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14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3.6000000000000014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>
        <v>15.4</v>
      </c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13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>
        <v>24</v>
      </c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15</v>
      </c>
      <c r="AQ171" s="89">
        <f t="shared" si="13"/>
        <v>24.08</v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>
        <v>21.2</v>
      </c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15</v>
      </c>
      <c r="AQ174" s="89">
        <f t="shared" si="13"/>
        <v>21.053333333333331</v>
      </c>
      <c r="AR174" s="89">
        <f>IFERROR(VLOOKUP(A174,Climatologia!A:U,9+$E$2,FALSE),"")</f>
        <v>20.105130783418979</v>
      </c>
      <c r="AS174" s="89">
        <f t="shared" si="14"/>
        <v>0.94820254991435249</v>
      </c>
      <c r="AT174" s="90">
        <f t="shared" si="15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>
        <v>23</v>
      </c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12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>
        <v>14.4</v>
      </c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15</v>
      </c>
      <c r="AQ178" s="89">
        <f t="shared" si="13"/>
        <v>13.613333333333333</v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>
        <v>23.8</v>
      </c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14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>
        <v>24.6</v>
      </c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15</v>
      </c>
      <c r="AQ180" s="89">
        <f t="shared" si="13"/>
        <v>23.360000000000007</v>
      </c>
      <c r="AR180" s="89">
        <f>IFERROR(VLOOKUP(A180,Climatologia!A:U,9+$E$2,FALSE),"")</f>
        <v>21.595820289739919</v>
      </c>
      <c r="AS180" s="89">
        <f t="shared" si="14"/>
        <v>1.7641797102600876</v>
      </c>
      <c r="AT180" s="90">
        <f t="shared" si="15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>
        <v>13.6</v>
      </c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14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>
        <v>18.2</v>
      </c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15</v>
      </c>
      <c r="AQ182" s="89">
        <f t="shared" si="13"/>
        <v>18.866666666666667</v>
      </c>
      <c r="AR182" s="89">
        <f>IFERROR(VLOOKUP(A182,Climatologia!A:U,9+$E$2,FALSE),"")</f>
        <v>19.96734366044257</v>
      </c>
      <c r="AS182" s="89">
        <f t="shared" si="14"/>
        <v>-1.1006769937759024</v>
      </c>
      <c r="AT182" s="90">
        <f t="shared" si="15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>
        <v>20.399999999999999</v>
      </c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14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>
        <f t="shared" si="15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>
        <v>16.399999999999999</v>
      </c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15</v>
      </c>
      <c r="AQ184" s="89">
        <f t="shared" si="13"/>
        <v>16.533333333333335</v>
      </c>
      <c r="AR184" s="89">
        <f>IFERROR(VLOOKUP(A184,Climatologia!A:U,9+$E$2,FALSE),"")</f>
        <v>16.78927904074477</v>
      </c>
      <c r="AS184" s="89">
        <f t="shared" si="14"/>
        <v>-0.25594570741143485</v>
      </c>
      <c r="AT184" s="90">
        <f t="shared" si="15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>
        <v>22</v>
      </c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15</v>
      </c>
      <c r="AQ185" s="89">
        <f t="shared" si="13"/>
        <v>22.48</v>
      </c>
      <c r="AR185" s="89">
        <f>IFERROR(VLOOKUP(A185,Climatologia!A:U,9+$E$2,FALSE),"")</f>
        <v>20.659011266682761</v>
      </c>
      <c r="AS185" s="89">
        <f t="shared" si="14"/>
        <v>1.8209887333172396</v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>
        <v>19.399999999999999</v>
      </c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15</v>
      </c>
      <c r="AQ186" s="89">
        <f t="shared" si="13"/>
        <v>18.013333333333328</v>
      </c>
      <c r="AR186" s="89">
        <f>IFERROR(VLOOKUP(A186,Climatologia!A:U,9+$E$2,FALSE),"")</f>
        <v>16.78852483149106</v>
      </c>
      <c r="AS186" s="89">
        <f t="shared" si="14"/>
        <v>1.2248085018422685</v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>
        <v>21.8</v>
      </c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15</v>
      </c>
      <c r="AQ187" s="89">
        <f t="shared" si="13"/>
        <v>21.266666666666666</v>
      </c>
      <c r="AR187" s="89">
        <f>IFERROR(VLOOKUP(A187,Climatologia!A:U,9+$E$2,FALSE),"")</f>
        <v>20.02675378177625</v>
      </c>
      <c r="AS187" s="89">
        <f t="shared" si="14"/>
        <v>1.2399128848904155</v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>
        <v>18.2</v>
      </c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15</v>
      </c>
      <c r="AQ188" s="89">
        <f t="shared" si="13"/>
        <v>18.026666666666667</v>
      </c>
      <c r="AR188" s="89">
        <f>IFERROR(VLOOKUP(A188,Climatologia!A:U,9+$E$2,FALSE),"")</f>
        <v>15.545325140809011</v>
      </c>
      <c r="AS188" s="89">
        <f t="shared" si="14"/>
        <v>2.4813415258576565</v>
      </c>
      <c r="AT188" s="90">
        <f t="shared" si="15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>
        <v>14</v>
      </c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15</v>
      </c>
      <c r="AQ189" s="89">
        <f t="shared" si="13"/>
        <v>13.386666666666665</v>
      </c>
      <c r="AR189" s="89">
        <f>IFERROR(VLOOKUP(A189,Climatologia!A:U,9+$E$2,FALSE),"")</f>
        <v>11.488216794380589</v>
      </c>
      <c r="AS189" s="89">
        <f t="shared" si="14"/>
        <v>1.8984498722860756</v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>
        <v>8.8000000000000007</v>
      </c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15</v>
      </c>
      <c r="AQ190" s="89">
        <f t="shared" si="13"/>
        <v>7.7866666666666662</v>
      </c>
      <c r="AR190" s="89">
        <f>IFERROR(VLOOKUP(A190,Climatologia!A:U,9+$E$2,FALSE),"")</f>
        <v>7.3708373411860384</v>
      </c>
      <c r="AS190" s="89">
        <f t="shared" si="14"/>
        <v>0.41582932548062779</v>
      </c>
      <c r="AT190" s="90">
        <f t="shared" si="15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>
        <v>22</v>
      </c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15</v>
      </c>
      <c r="AQ191" s="89">
        <f t="shared" si="13"/>
        <v>21.533333333333335</v>
      </c>
      <c r="AR191" s="89">
        <f>IFERROR(VLOOKUP(A191,Climatologia!A:U,9+$E$2,FALSE),"")</f>
        <v>19.76640571428571</v>
      </c>
      <c r="AS191" s="89">
        <f t="shared" si="14"/>
        <v>1.7669276190476246</v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>
        <v>10.4</v>
      </c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15</v>
      </c>
      <c r="AQ192" s="89">
        <f t="shared" si="13"/>
        <v>10.08</v>
      </c>
      <c r="AR192" s="89">
        <f>IFERROR(VLOOKUP(A192,Climatologia!A:U,9+$E$2,FALSE),"")</f>
        <v>8.3038288971873495</v>
      </c>
      <c r="AS192" s="89">
        <f t="shared" si="14"/>
        <v>1.7761711028126506</v>
      </c>
      <c r="AT192" s="90">
        <f t="shared" si="15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>
        <v>5.6</v>
      </c>
      <c r="Y193" s="51">
        <v>11</v>
      </c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14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4.3999999999999995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14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14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12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>
        <v>10.4</v>
      </c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15</v>
      </c>
      <c r="AQ197" s="89">
        <f t="shared" ref="AQ197:AQ260" si="18">IF(AP197&gt;14,AVERAGE(K197:AO197),"")</f>
        <v>8.5466666666666651</v>
      </c>
      <c r="AR197" s="89">
        <f>IFERROR(VLOOKUP(A197,Climatologia!A:U,9+$E$2,FALSE),"")</f>
        <v>7.8933666539450718</v>
      </c>
      <c r="AS197" s="89">
        <f t="shared" ref="AS197:AS260" si="19">IF(OR(AQ197="",AR197=""),"",IFERROR(AQ197-AR197,""))</f>
        <v>0.65330001272159333</v>
      </c>
      <c r="AT197" s="90">
        <f t="shared" ref="AT197:AT207" si="20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>
        <v>10</v>
      </c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15</v>
      </c>
      <c r="AQ198" s="89">
        <f t="shared" si="18"/>
        <v>9.44</v>
      </c>
      <c r="AR198" s="89">
        <f>IFERROR(VLOOKUP(A198,Climatologia!A:U,9+$E$2,FALSE),"")</f>
        <v>7.7598125606935424</v>
      </c>
      <c r="AS198" s="89">
        <f t="shared" si="19"/>
        <v>1.6801874393064571</v>
      </c>
      <c r="AT198" s="90">
        <f t="shared" si="20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>
        <v>12</v>
      </c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15</v>
      </c>
      <c r="AQ199" s="89">
        <f t="shared" si="18"/>
        <v>9.56</v>
      </c>
      <c r="AR199" s="89">
        <f>IFERROR(VLOOKUP(A199,Climatologia!A:U,9+$E$2,FALSE),"")</f>
        <v>7.4125279631689516</v>
      </c>
      <c r="AS199" s="89">
        <f t="shared" si="19"/>
        <v>2.1474720368310489</v>
      </c>
      <c r="AT199" s="90">
        <f t="shared" si="20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11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>
        <v>10</v>
      </c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11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>
        <v>10.4</v>
      </c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15</v>
      </c>
      <c r="AQ202" s="89">
        <f t="shared" si="18"/>
        <v>7.3066666666666684</v>
      </c>
      <c r="AR202" s="89">
        <f>IFERROR(VLOOKUP(A202,Climatologia!A:U,9+$E$2,FALSE),"")</f>
        <v>8.0131665360709121</v>
      </c>
      <c r="AS202" s="89">
        <f t="shared" si="19"/>
        <v>-0.7064998694042437</v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>
        <v>5.8</v>
      </c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15</v>
      </c>
      <c r="AQ203" s="89">
        <f t="shared" si="18"/>
        <v>5.1733333333333329</v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14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>
        <v>7</v>
      </c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15</v>
      </c>
      <c r="AQ206" s="89">
        <f t="shared" si="18"/>
        <v>6.4666666666666659</v>
      </c>
      <c r="AR206" s="89">
        <f>IFERROR(VLOOKUP(A206,Climatologia!A:U,9+$E$2,FALSE),"")</f>
        <v>5.2432824793440451</v>
      </c>
      <c r="AS206" s="89">
        <f t="shared" si="19"/>
        <v>1.2233841873226208</v>
      </c>
      <c r="AT206" s="90">
        <f t="shared" si="20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14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848</v>
      </c>
      <c r="B1" s="122" t="s">
        <v>8</v>
      </c>
      <c r="C1" s="122" t="s">
        <v>11</v>
      </c>
      <c r="D1" s="122" t="s">
        <v>10</v>
      </c>
      <c r="E1" s="122" t="s">
        <v>12</v>
      </c>
      <c r="F1" s="122" t="s">
        <v>16</v>
      </c>
      <c r="G1" s="122" t="s">
        <v>849</v>
      </c>
      <c r="H1" s="119" t="s">
        <v>850</v>
      </c>
      <c r="I1" s="120"/>
      <c r="J1" s="121"/>
      <c r="K1" s="119" t="s">
        <v>851</v>
      </c>
      <c r="L1" s="120"/>
      <c r="M1" s="121"/>
      <c r="N1" s="119" t="s">
        <v>852</v>
      </c>
      <c r="O1" s="120"/>
      <c r="P1" s="121"/>
      <c r="Q1" s="119" t="s">
        <v>853</v>
      </c>
      <c r="R1" s="120"/>
      <c r="S1" s="121"/>
      <c r="T1" s="119" t="s">
        <v>854</v>
      </c>
      <c r="U1" s="120"/>
      <c r="V1" s="121"/>
      <c r="W1" s="119" t="s">
        <v>855</v>
      </c>
      <c r="X1" s="120"/>
      <c r="Y1" s="121"/>
      <c r="Z1" s="119" t="s">
        <v>856</v>
      </c>
      <c r="AA1" s="120"/>
      <c r="AB1" s="121"/>
      <c r="AC1" s="119" t="s">
        <v>857</v>
      </c>
      <c r="AD1" s="120"/>
      <c r="AE1" s="121"/>
      <c r="AF1" s="119" t="s">
        <v>858</v>
      </c>
      <c r="AG1" s="120"/>
      <c r="AH1" s="121"/>
      <c r="AI1" s="119" t="s">
        <v>859</v>
      </c>
      <c r="AJ1" s="120"/>
      <c r="AK1" s="121"/>
      <c r="AL1" s="119" t="s">
        <v>860</v>
      </c>
      <c r="AM1" s="120"/>
      <c r="AN1" s="121"/>
      <c r="AO1" s="119" t="s">
        <v>861</v>
      </c>
      <c r="AP1" s="120"/>
      <c r="AQ1" s="121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2026-07-15T14:58:47Z</dcterms:modified>
</cp:coreProperties>
</file>