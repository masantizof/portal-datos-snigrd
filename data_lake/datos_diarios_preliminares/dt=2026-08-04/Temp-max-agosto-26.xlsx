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A5C7148-3975-4EA6-8E68-06E3CB942155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<sst xmlns="http://schemas.openxmlformats.org/spreadsheetml/2006/main" count="603" uniqueCount="272">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</sst>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30" activePane="bottomRight" state="frozen"/>
      <selection pane="topRight" activeCell="E1" sqref="E1"/>
      <selection pane="bottomLeft" activeCell="A4" sqref="A4"/>
      <selection pane="bottomRight" activeCell="D50" sqref="D50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30.6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32.200000000000003</v>
      </c>
      <c r="AK6" s="21">
        <f t="shared" ref="AK6:AK48" si="1">+MAX($E6:$AI6)</f>
        <v>32.200000000000003</v>
      </c>
      <c r="AL6" s="22">
        <v>33.4</v>
      </c>
      <c r="AM6" s="23">
        <f t="shared" ref="AM6:AM48" si="2">IF(AK6&gt;0,$AK6-$AL6,"")</f>
        <v>-1.1999999999999957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36</v>
      </c>
      <c r="AK7" s="21">
        <f t="shared" si="1"/>
        <v>37.6</v>
      </c>
      <c r="AL7" s="22">
        <v>38.4</v>
      </c>
      <c r="AM7" s="23">
        <f t="shared" si="2"/>
        <v>-0.79999999999999716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34.4</v>
      </c>
      <c r="AK8" s="21">
        <f t="shared" si="1"/>
        <v>34.4</v>
      </c>
      <c r="AL8" s="22">
        <v>36.9</v>
      </c>
      <c r="AM8" s="23">
        <f t="shared" si="2"/>
        <v>-2.5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35.5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37.4</v>
      </c>
      <c r="AK10" s="21">
        <f t="shared" si="1"/>
        <v>37.9</v>
      </c>
      <c r="AL10" s="22">
        <v>39.4</v>
      </c>
      <c r="AM10" s="23">
        <f t="shared" si="2"/>
        <v>-1.5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39.200000000000003</v>
      </c>
      <c r="AK11" s="21">
        <f t="shared" si="1"/>
        <v>40.6</v>
      </c>
      <c r="AL11" s="22">
        <v>41.2</v>
      </c>
      <c r="AM11" s="23">
        <f t="shared" si="2"/>
        <v>-0.60000000000000142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35.200000000000003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36.6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34.4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28.9</v>
      </c>
      <c r="AK15" s="21">
        <f t="shared" si="1"/>
        <v>33.4</v>
      </c>
      <c r="AL15" s="22">
        <v>35</v>
      </c>
      <c r="AM15" s="23">
        <f t="shared" si="2"/>
        <v>-1.6000000000000014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34.1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28.4</v>
      </c>
      <c r="AK18" s="21">
        <f t="shared" si="1"/>
        <v>30.5</v>
      </c>
      <c r="AL18" s="22">
        <v>30.3</v>
      </c>
      <c r="AM18" s="23">
        <f t="shared" si="2"/>
        <v>0.19999999999999929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34.5</v>
      </c>
      <c r="AK19" s="21">
        <f t="shared" si="1"/>
        <v>36.1</v>
      </c>
      <c r="AL19" s="22">
        <v>38.700000000000003</v>
      </c>
      <c r="AM19" s="23">
        <f t="shared" si="2"/>
        <v>-2.6000000000000014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30</v>
      </c>
      <c r="AK20" s="21">
        <f t="shared" si="1"/>
        <v>30.9</v>
      </c>
      <c r="AL20" s="22">
        <v>33.6</v>
      </c>
      <c r="AM20" s="23">
        <f t="shared" si="2"/>
        <v>-2.7000000000000028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23.7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29</v>
      </c>
      <c r="AK23" s="21">
        <f t="shared" si="1"/>
        <v>31.4</v>
      </c>
      <c r="AL23" s="22">
        <v>32.6</v>
      </c>
      <c r="AM23" s="23">
        <f t="shared" si="2"/>
        <v>-1.2000000000000028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30.3</v>
      </c>
      <c r="AK24" s="21">
        <f t="shared" si="1"/>
        <v>32.200000000000003</v>
      </c>
      <c r="AL24" s="22">
        <v>34.4</v>
      </c>
      <c r="AM24" s="23">
        <f t="shared" si="2"/>
        <v>-2.1999999999999957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34.700000000000003</v>
      </c>
      <c r="AK25" s="21">
        <f t="shared" si="1"/>
        <v>36.1</v>
      </c>
      <c r="AL25" s="22">
        <v>36.4</v>
      </c>
      <c r="AM25" s="23">
        <f t="shared" si="2"/>
        <v>-0.29999999999999716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19.3</v>
      </c>
      <c r="AK26" s="21">
        <f t="shared" si="1"/>
        <v>20.5</v>
      </c>
      <c r="AL26" s="22">
        <v>23.6</v>
      </c>
      <c r="AM26" s="23">
        <f t="shared" si="2"/>
        <v>-3.1000000000000014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20.8</v>
      </c>
      <c r="AK27" s="21">
        <f t="shared" si="1"/>
        <v>20.8</v>
      </c>
      <c r="AL27" s="22">
        <v>22.4</v>
      </c>
      <c r="AM27" s="23">
        <f t="shared" si="2"/>
        <v>-1.5999999999999979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30.1</v>
      </c>
      <c r="AK28" s="21">
        <f t="shared" si="1"/>
        <v>34.299999999999997</v>
      </c>
      <c r="AL28" s="22">
        <v>36.1</v>
      </c>
      <c r="AM28" s="23">
        <f t="shared" si="2"/>
        <v>-1.8000000000000043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</v>
      </c>
      <c r="AK30" s="21">
        <f t="shared" si="1"/>
        <v>38.200000000000003</v>
      </c>
      <c r="AL30" s="22">
        <v>39</v>
      </c>
      <c r="AM30" s="23">
        <f t="shared" si="2"/>
        <v>-0.79999999999999716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27.2</v>
      </c>
      <c r="AK31" s="21">
        <f t="shared" si="1"/>
        <v>27.6</v>
      </c>
      <c r="AL31" s="22">
        <v>31.3</v>
      </c>
      <c r="AM31" s="23">
        <f t="shared" si="2"/>
        <v>-3.6999999999999993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15.6</v>
      </c>
      <c r="AK32" s="21">
        <f t="shared" si="1"/>
        <v>19</v>
      </c>
      <c r="AL32" s="22">
        <v>22.2</v>
      </c>
      <c r="AM32" s="23">
        <f t="shared" si="2"/>
        <v>-3.1999999999999993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14.8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30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32.5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32.4</v>
      </c>
      <c r="AK39" s="21">
        <f t="shared" si="1"/>
        <v>32.4</v>
      </c>
      <c r="AL39" s="22">
        <v>36.1</v>
      </c>
      <c r="AM39" s="23">
        <f t="shared" si="2"/>
        <v>-3.7000000000000028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30.6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31.6</v>
      </c>
      <c r="AK41" s="21">
        <f t="shared" si="1"/>
        <v>33.6</v>
      </c>
      <c r="AL41" s="22">
        <v>35.200000000000003</v>
      </c>
      <c r="AM41" s="23">
        <f t="shared" si="2"/>
        <v>-1.6000000000000014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32.200000000000003</v>
      </c>
      <c r="AK43" s="21">
        <f t="shared" si="1"/>
        <v>32.200000000000003</v>
      </c>
      <c r="AL43" s="22">
        <v>35.4</v>
      </c>
      <c r="AM43" s="23">
        <f t="shared" si="2"/>
        <v>-3.1999999999999957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31.3</v>
      </c>
      <c r="AK44" s="21">
        <f t="shared" si="1"/>
        <v>32</v>
      </c>
      <c r="AL44" s="22">
        <v>34.4</v>
      </c>
      <c r="AM44" s="23">
        <f t="shared" si="2"/>
        <v>-2.3999999999999986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</v>
      </c>
      <c r="AK45" s="21">
        <f t="shared" si="1"/>
        <v>33.200000000000003</v>
      </c>
      <c r="AL45" s="22">
        <v>35</v>
      </c>
      <c r="AM45" s="23">
        <f t="shared" si="2"/>
        <v>-1.7999999999999972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31.9</v>
      </c>
      <c r="AK48" s="21">
        <f t="shared" si="1"/>
        <v>32.6</v>
      </c>
      <c r="AL48" s="22">
        <v>35.700000000000003</v>
      </c>
      <c r="AM48" s="23">
        <f t="shared" si="2"/>
        <v>-3.1000000000000014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2026-08-04T13:41:51Z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