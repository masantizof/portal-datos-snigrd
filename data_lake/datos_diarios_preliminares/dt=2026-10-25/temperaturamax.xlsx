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A924F91-9CFE-48B9-887F-34DB540196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Temperatura!$AH$1:$AH$472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S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 s="1"/>
  <c r="AU284" i="1" a="1"/>
  <c r="AU284" i="1" s="1"/>
  <c r="AW284" i="1" s="1"/>
  <c r="AT284" i="1"/>
  <c r="AR284" i="1"/>
  <c r="AP284" i="1"/>
  <c r="AQ284" i="1" s="1"/>
  <c r="AV283" i="1" a="1"/>
  <c r="AV283" i="1" s="1"/>
  <c r="AU283" i="1" a="1"/>
  <c r="AU283" i="1" s="1"/>
  <c r="AW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W277" i="1" s="1"/>
  <c r="AT277" i="1"/>
  <c r="AR277" i="1"/>
  <c r="AP277" i="1"/>
  <c r="AQ277" i="1" s="1"/>
  <c r="AS277" i="1" s="1"/>
  <c r="AV276" i="1" a="1"/>
  <c r="AV276" i="1" s="1"/>
  <c r="AU276" i="1" a="1"/>
  <c r="AU276" i="1" s="1"/>
  <c r="AW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S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S272" i="1" s="1"/>
  <c r="AV271" i="1" a="1"/>
  <c r="AV271" i="1" s="1"/>
  <c r="AU271" i="1" a="1"/>
  <c r="AU271" i="1" s="1"/>
  <c r="AT271" i="1"/>
  <c r="AW271" i="1" s="1"/>
  <c r="AR271" i="1"/>
  <c r="AP271" i="1"/>
  <c r="AQ271" i="1" s="1"/>
  <c r="AS271" i="1" s="1"/>
  <c r="AV270" i="1" a="1"/>
  <c r="AV270" i="1" s="1"/>
  <c r="AU270" i="1" a="1"/>
  <c r="AU270" i="1" s="1"/>
  <c r="AW270" i="1" s="1"/>
  <c r="AT270" i="1"/>
  <c r="AR270" i="1"/>
  <c r="AP270" i="1"/>
  <c r="AQ270" i="1" s="1"/>
  <c r="AV269" i="1" a="1"/>
  <c r="AV269" i="1" s="1"/>
  <c r="AU269" i="1" a="1"/>
  <c r="AU269" i="1" s="1"/>
  <c r="AW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W264" i="1" s="1"/>
  <c r="AT264" i="1"/>
  <c r="AR264" i="1"/>
  <c r="AP264" i="1"/>
  <c r="AQ264" i="1" s="1"/>
  <c r="AV263" i="1" a="1"/>
  <c r="AV263" i="1" s="1"/>
  <c r="AU263" i="1" a="1"/>
  <c r="AU263" i="1" s="1"/>
  <c r="AW263" i="1" s="1"/>
  <c r="AT263" i="1"/>
  <c r="AR263" i="1"/>
  <c r="AP263" i="1"/>
  <c r="AQ263" i="1" s="1"/>
  <c r="AV262" i="1" a="1"/>
  <c r="AV262" i="1" s="1"/>
  <c r="AU262" i="1" a="1"/>
  <c r="AU262" i="1" s="1"/>
  <c r="AW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S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W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W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W244" i="1" s="1"/>
  <c r="AT244" i="1"/>
  <c r="AR244" i="1"/>
  <c r="AP244" i="1"/>
  <c r="AQ244" i="1" s="1"/>
  <c r="AV243" i="1" a="1"/>
  <c r="AV243" i="1" s="1"/>
  <c r="AU243" i="1" a="1"/>
  <c r="AU243" i="1" s="1"/>
  <c r="AW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W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S237" i="1" s="1"/>
  <c r="AV236" i="1" a="1"/>
  <c r="AV236" i="1" s="1"/>
  <c r="AU236" i="1" a="1"/>
  <c r="AU236" i="1" s="1"/>
  <c r="AT236" i="1"/>
  <c r="AR236" i="1"/>
  <c r="AP236" i="1"/>
  <c r="AQ236" i="1" s="1"/>
  <c r="AS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W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S226" i="1" s="1"/>
  <c r="AV225" i="1" a="1"/>
  <c r="AV225" i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S224" i="1" s="1"/>
  <c r="AV223" i="1" a="1"/>
  <c r="AV223" i="1" s="1"/>
  <c r="AU223" i="1" a="1"/>
  <c r="AU223" i="1" s="1"/>
  <c r="AT223" i="1"/>
  <c r="AR223" i="1"/>
  <c r="AP223" i="1"/>
  <c r="AQ223" i="1" s="1"/>
  <c r="AS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W213" i="1" s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W200" i="1" s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W193" i="1" s="1"/>
  <c r="AT193" i="1"/>
  <c r="AR193" i="1"/>
  <c r="AP193" i="1"/>
  <c r="AQ193" i="1" s="1"/>
  <c r="AV192" i="1" a="1"/>
  <c r="AV192" i="1" s="1"/>
  <c r="AU192" i="1" a="1"/>
  <c r="AU192" i="1" s="1"/>
  <c r="AW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/>
  <c r="AU187" i="1" a="1"/>
  <c r="AU187" i="1"/>
  <c r="AT187" i="1"/>
  <c r="AW187" i="1" s="1"/>
  <c r="AR187" i="1"/>
  <c r="AP187" i="1"/>
  <c r="AQ187" i="1" s="1"/>
  <c r="AS187" i="1" s="1"/>
  <c r="AV186" i="1" a="1"/>
  <c r="AV186" i="1" s="1"/>
  <c r="AU186" i="1" a="1"/>
  <c r="AU186" i="1" s="1"/>
  <c r="AW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/>
  <c r="AU180" i="1" a="1"/>
  <c r="AU180" i="1"/>
  <c r="AT180" i="1"/>
  <c r="AW180" i="1" s="1"/>
  <c r="AR180" i="1"/>
  <c r="AP180" i="1"/>
  <c r="AQ180" i="1" s="1"/>
  <c r="AS180" i="1" s="1"/>
  <c r="AV179" i="1" a="1"/>
  <c r="AV179" i="1" s="1"/>
  <c r="AU179" i="1" a="1"/>
  <c r="AU179" i="1" s="1"/>
  <c r="AW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W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W174" i="1" s="1"/>
  <c r="AT174" i="1"/>
  <c r="AR174" i="1"/>
  <c r="AP174" i="1"/>
  <c r="AQ174" i="1" s="1"/>
  <c r="AV173" i="1" a="1"/>
  <c r="AV173" i="1"/>
  <c r="AU173" i="1" a="1"/>
  <c r="AU173" i="1"/>
  <c r="AT173" i="1"/>
  <c r="AW173" i="1" s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W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S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W161" i="1" s="1"/>
  <c r="AT161" i="1"/>
  <c r="AR161" i="1"/>
  <c r="AP161" i="1"/>
  <c r="AQ161" i="1" s="1"/>
  <c r="AV160" i="1" a="1"/>
  <c r="AV160" i="1" s="1"/>
  <c r="AU160" i="1" a="1"/>
  <c r="AU160" i="1" s="1"/>
  <c r="AW160" i="1" s="1"/>
  <c r="AT160" i="1"/>
  <c r="AR160" i="1"/>
  <c r="AP160" i="1"/>
  <c r="AQ160" i="1" s="1"/>
  <c r="AS160" i="1" s="1"/>
  <c r="AV159" i="1" a="1"/>
  <c r="AV159" i="1"/>
  <c r="AU159" i="1" a="1"/>
  <c r="AU159" i="1" s="1"/>
  <c r="AT159" i="1"/>
  <c r="AW159" i="1" s="1"/>
  <c r="AR159" i="1"/>
  <c r="AP159" i="1"/>
  <c r="AQ159" i="1" s="1"/>
  <c r="AS159" i="1" s="1"/>
  <c r="AV158" i="1" a="1"/>
  <c r="AV158" i="1" s="1"/>
  <c r="AU158" i="1" a="1"/>
  <c r="AU158" i="1" s="1"/>
  <c r="AT158" i="1"/>
  <c r="AW158" i="1" s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W155" i="1" s="1"/>
  <c r="AT155" i="1"/>
  <c r="AR155" i="1"/>
  <c r="AP155" i="1"/>
  <c r="AQ155" i="1" s="1"/>
  <c r="AS155" i="1" s="1"/>
  <c r="AV154" i="1" a="1"/>
  <c r="AV154" i="1" s="1"/>
  <c r="AU154" i="1" a="1"/>
  <c r="AU154" i="1" s="1"/>
  <c r="AW154" i="1" s="1"/>
  <c r="AT154" i="1"/>
  <c r="AR154" i="1"/>
  <c r="AP154" i="1"/>
  <c r="AQ154" i="1" s="1"/>
  <c r="AS154" i="1" s="1"/>
  <c r="AV153" i="1" a="1"/>
  <c r="AV153" i="1"/>
  <c r="AU153" i="1" a="1"/>
  <c r="AU153" i="1"/>
  <c r="AT153" i="1"/>
  <c r="AW153" i="1" s="1"/>
  <c r="AR153" i="1"/>
  <c r="AP153" i="1"/>
  <c r="AQ153" i="1" s="1"/>
  <c r="AS153" i="1" s="1"/>
  <c r="AV152" i="1" a="1"/>
  <c r="AV152" i="1"/>
  <c r="AU152" i="1" a="1"/>
  <c r="AU152" i="1" s="1"/>
  <c r="AT152" i="1"/>
  <c r="AW152" i="1" s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W148" i="1" s="1"/>
  <c r="AT148" i="1"/>
  <c r="AR148" i="1"/>
  <c r="AP148" i="1"/>
  <c r="AQ148" i="1" s="1"/>
  <c r="AV147" i="1" a="1"/>
  <c r="AV147" i="1"/>
  <c r="AU147" i="1" a="1"/>
  <c r="AU147" i="1"/>
  <c r="AT147" i="1"/>
  <c r="AW147" i="1" s="1"/>
  <c r="AR147" i="1"/>
  <c r="AP147" i="1"/>
  <c r="AQ147" i="1" s="1"/>
  <c r="AS147" i="1" s="1"/>
  <c r="AV146" i="1" a="1"/>
  <c r="AV146" i="1"/>
  <c r="AU146" i="1" a="1"/>
  <c r="AU146" i="1"/>
  <c r="AT146" i="1"/>
  <c r="AW146" i="1" s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W142" i="1" s="1"/>
  <c r="AT142" i="1"/>
  <c r="AR142" i="1"/>
  <c r="AP142" i="1"/>
  <c r="AQ142" i="1" s="1"/>
  <c r="AS142" i="1" s="1"/>
  <c r="AV141" i="1" a="1"/>
  <c r="AV141" i="1"/>
  <c r="AU141" i="1" a="1"/>
  <c r="AU141" i="1"/>
  <c r="AT141" i="1"/>
  <c r="AW141" i="1" s="1"/>
  <c r="AR141" i="1"/>
  <c r="AP141" i="1"/>
  <c r="AQ141" i="1" s="1"/>
  <c r="AS141" i="1" s="1"/>
  <c r="AV140" i="1" a="1"/>
  <c r="AV140" i="1"/>
  <c r="AU140" i="1" a="1"/>
  <c r="AU140" i="1"/>
  <c r="AT140" i="1"/>
  <c r="AW140" i="1" s="1"/>
  <c r="AR140" i="1"/>
  <c r="AP140" i="1"/>
  <c r="AQ140" i="1" s="1"/>
  <c r="AS140" i="1" s="1"/>
  <c r="AV139" i="1" a="1"/>
  <c r="AV139" i="1"/>
  <c r="AU139" i="1" a="1"/>
  <c r="AU139" i="1"/>
  <c r="AT139" i="1"/>
  <c r="AW139" i="1" s="1"/>
  <c r="AR139" i="1"/>
  <c r="AP139" i="1"/>
  <c r="AQ139" i="1" s="1"/>
  <c r="AS139" i="1" s="1"/>
  <c r="AV138" i="1" a="1"/>
  <c r="AV138" i="1" s="1"/>
  <c r="AU138" i="1" a="1"/>
  <c r="AU138" i="1" s="1"/>
  <c r="AT138" i="1"/>
  <c r="AW138" i="1" s="1"/>
  <c r="AR138" i="1"/>
  <c r="AP138" i="1"/>
  <c r="AQ138" i="1" s="1"/>
  <c r="AS138" i="1" s="1"/>
  <c r="AV137" i="1" a="1"/>
  <c r="AV137" i="1" s="1"/>
  <c r="AU137" i="1" a="1"/>
  <c r="AU137" i="1" s="1"/>
  <c r="AT137" i="1"/>
  <c r="AW137" i="1" s="1"/>
  <c r="AR137" i="1"/>
  <c r="AP137" i="1"/>
  <c r="AQ137" i="1" s="1"/>
  <c r="AS137" i="1" s="1"/>
  <c r="AV136" i="1" a="1"/>
  <c r="AV136" i="1" s="1"/>
  <c r="AU136" i="1" a="1"/>
  <c r="AU136" i="1" s="1"/>
  <c r="AT136" i="1"/>
  <c r="AW136" i="1" s="1"/>
  <c r="AR136" i="1"/>
  <c r="AP136" i="1"/>
  <c r="AQ136" i="1" s="1"/>
  <c r="AS136" i="1" s="1"/>
  <c r="AV135" i="1" a="1"/>
  <c r="AV135" i="1"/>
  <c r="AU135" i="1" a="1"/>
  <c r="AU135" i="1"/>
  <c r="AT135" i="1"/>
  <c r="AW135" i="1" s="1"/>
  <c r="AR135" i="1"/>
  <c r="AP135" i="1"/>
  <c r="AQ135" i="1" s="1"/>
  <c r="AS135" i="1" s="1"/>
  <c r="AV134" i="1" a="1"/>
  <c r="AV134" i="1"/>
  <c r="AU134" i="1" a="1"/>
  <c r="AU134" i="1"/>
  <c r="AT134" i="1"/>
  <c r="AW134" i="1" s="1"/>
  <c r="AR134" i="1"/>
  <c r="AP134" i="1"/>
  <c r="AQ134" i="1" s="1"/>
  <c r="AS134" i="1" s="1"/>
  <c r="AV133" i="1" a="1"/>
  <c r="AV133" i="1"/>
  <c r="AU133" i="1" a="1"/>
  <c r="AU133" i="1"/>
  <c r="AT133" i="1"/>
  <c r="AW133" i="1" s="1"/>
  <c r="AR133" i="1"/>
  <c r="AP133" i="1"/>
  <c r="AQ133" i="1" s="1"/>
  <c r="AS133" i="1" s="1"/>
  <c r="AV132" i="1" a="1"/>
  <c r="AV132" i="1"/>
  <c r="AU132" i="1" a="1"/>
  <c r="AU132" i="1"/>
  <c r="AT132" i="1"/>
  <c r="AW132" i="1" s="1"/>
  <c r="AR132" i="1"/>
  <c r="AP132" i="1"/>
  <c r="AQ132" i="1" s="1"/>
  <c r="AS132" i="1" s="1"/>
  <c r="AV131" i="1" a="1"/>
  <c r="AV131" i="1"/>
  <c r="AU131" i="1" a="1"/>
  <c r="AU131" i="1"/>
  <c r="AT131" i="1"/>
  <c r="AW131" i="1" s="1"/>
  <c r="AR131" i="1"/>
  <c r="AP131" i="1"/>
  <c r="AQ131" i="1" s="1"/>
  <c r="AS131" i="1" s="1"/>
  <c r="AV130" i="1" a="1"/>
  <c r="AV130" i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/>
  <c r="AU128" i="1" a="1"/>
  <c r="AU128" i="1"/>
  <c r="AT128" i="1"/>
  <c r="AW128" i="1" s="1"/>
  <c r="AR128" i="1"/>
  <c r="AP128" i="1"/>
  <c r="AQ128" i="1" s="1"/>
  <c r="AS128" i="1" s="1"/>
  <c r="AV127" i="1" a="1"/>
  <c r="AV127" i="1"/>
  <c r="AU127" i="1" a="1"/>
  <c r="AU127" i="1"/>
  <c r="AT127" i="1"/>
  <c r="AW127" i="1" s="1"/>
  <c r="AR127" i="1"/>
  <c r="AP127" i="1"/>
  <c r="AQ127" i="1" s="1"/>
  <c r="AS127" i="1" s="1"/>
  <c r="AV126" i="1" a="1"/>
  <c r="AV126" i="1"/>
  <c r="AU126" i="1" a="1"/>
  <c r="AU126" i="1"/>
  <c r="AT126" i="1"/>
  <c r="AW126" i="1" s="1"/>
  <c r="AR126" i="1"/>
  <c r="AP126" i="1"/>
  <c r="AQ126" i="1" s="1"/>
  <c r="AS126" i="1" s="1"/>
  <c r="AV125" i="1" a="1"/>
  <c r="AV125" i="1"/>
  <c r="AU125" i="1" a="1"/>
  <c r="AU125" i="1"/>
  <c r="AT125" i="1"/>
  <c r="AW125" i="1" s="1"/>
  <c r="AR125" i="1"/>
  <c r="AP125" i="1"/>
  <c r="AQ125" i="1" s="1"/>
  <c r="AS125" i="1" s="1"/>
  <c r="AV124" i="1" a="1"/>
  <c r="AV124" i="1"/>
  <c r="AU124" i="1" a="1"/>
  <c r="AU124" i="1"/>
  <c r="AT124" i="1"/>
  <c r="AW124" i="1" s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/>
  <c r="AU122" i="1" a="1"/>
  <c r="AU122" i="1"/>
  <c r="AT122" i="1"/>
  <c r="AW122" i="1" s="1"/>
  <c r="AR122" i="1"/>
  <c r="AP122" i="1"/>
  <c r="AQ122" i="1" s="1"/>
  <c r="AS122" i="1" s="1"/>
  <c r="AV121" i="1" a="1"/>
  <c r="AV121" i="1"/>
  <c r="AU121" i="1" a="1"/>
  <c r="AU121" i="1"/>
  <c r="AT121" i="1"/>
  <c r="AW121" i="1" s="1"/>
  <c r="AR121" i="1"/>
  <c r="AP121" i="1"/>
  <c r="AQ121" i="1" s="1"/>
  <c r="AS121" i="1" s="1"/>
  <c r="AV120" i="1" a="1"/>
  <c r="AV120" i="1"/>
  <c r="AU120" i="1" a="1"/>
  <c r="AU120" i="1"/>
  <c r="AT120" i="1"/>
  <c r="AW120" i="1" s="1"/>
  <c r="AR120" i="1"/>
  <c r="AP120" i="1"/>
  <c r="AQ120" i="1" s="1"/>
  <c r="AS120" i="1" s="1"/>
  <c r="AV119" i="1" a="1"/>
  <c r="AV119" i="1"/>
  <c r="AU119" i="1" a="1"/>
  <c r="AU119" i="1"/>
  <c r="AT119" i="1"/>
  <c r="AW119" i="1" s="1"/>
  <c r="AR119" i="1"/>
  <c r="AP119" i="1"/>
  <c r="AQ119" i="1" s="1"/>
  <c r="AS119" i="1" s="1"/>
  <c r="AV118" i="1" a="1"/>
  <c r="AV118" i="1"/>
  <c r="AU118" i="1" a="1"/>
  <c r="AU118" i="1"/>
  <c r="AT118" i="1"/>
  <c r="AW118" i="1" s="1"/>
  <c r="AR118" i="1"/>
  <c r="AP118" i="1"/>
  <c r="AQ118" i="1" s="1"/>
  <c r="AS118" i="1" s="1"/>
  <c r="AV117" i="1" a="1"/>
  <c r="AV117" i="1"/>
  <c r="AU117" i="1" a="1"/>
  <c r="AU117" i="1"/>
  <c r="AT117" i="1"/>
  <c r="AW117" i="1" s="1"/>
  <c r="AR117" i="1"/>
  <c r="AP117" i="1"/>
  <c r="AQ117" i="1" s="1"/>
  <c r="AS117" i="1" s="1"/>
  <c r="AV116" i="1" a="1"/>
  <c r="AV116" i="1"/>
  <c r="AU116" i="1" a="1"/>
  <c r="AU116" i="1"/>
  <c r="AT116" i="1"/>
  <c r="AW116" i="1" s="1"/>
  <c r="AR116" i="1"/>
  <c r="AP116" i="1"/>
  <c r="AQ116" i="1" s="1"/>
  <c r="AS116" i="1" s="1"/>
  <c r="AV115" i="1" a="1"/>
  <c r="AV115" i="1"/>
  <c r="AU115" i="1" a="1"/>
  <c r="AU115" i="1"/>
  <c r="AT115" i="1"/>
  <c r="AW115" i="1" s="1"/>
  <c r="AR115" i="1"/>
  <c r="AP115" i="1"/>
  <c r="AQ115" i="1" s="1"/>
  <c r="AS115" i="1" s="1"/>
  <c r="AV114" i="1" a="1"/>
  <c r="AV114" i="1"/>
  <c r="AU114" i="1" a="1"/>
  <c r="AU114" i="1"/>
  <c r="AT114" i="1"/>
  <c r="AW114" i="1" s="1"/>
  <c r="AR114" i="1"/>
  <c r="AP114" i="1"/>
  <c r="AQ114" i="1" s="1"/>
  <c r="AS114" i="1" s="1"/>
  <c r="AV113" i="1" a="1"/>
  <c r="AV113" i="1"/>
  <c r="AU113" i="1" a="1"/>
  <c r="AU113" i="1"/>
  <c r="AT113" i="1"/>
  <c r="AW113" i="1" s="1"/>
  <c r="AR113" i="1"/>
  <c r="AP113" i="1"/>
  <c r="AQ113" i="1" s="1"/>
  <c r="AS113" i="1" s="1"/>
  <c r="AV112" i="1" a="1"/>
  <c r="AV112" i="1"/>
  <c r="AU112" i="1" a="1"/>
  <c r="AU112" i="1"/>
  <c r="AT112" i="1"/>
  <c r="AW112" i="1" s="1"/>
  <c r="AR112" i="1"/>
  <c r="AP112" i="1"/>
  <c r="AQ112" i="1" s="1"/>
  <c r="AS112" i="1" s="1"/>
  <c r="AV111" i="1" a="1"/>
  <c r="AV111" i="1"/>
  <c r="AU111" i="1" a="1"/>
  <c r="AU111" i="1" s="1"/>
  <c r="AW111" i="1" s="1"/>
  <c r="AT111" i="1"/>
  <c r="AR111" i="1"/>
  <c r="AP111" i="1"/>
  <c r="AQ111" i="1" s="1"/>
  <c r="AS111" i="1" s="1"/>
  <c r="AV110" i="1" a="1"/>
  <c r="AV110" i="1" s="1"/>
  <c r="AU110" i="1" a="1"/>
  <c r="AU110" i="1"/>
  <c r="AT110" i="1"/>
  <c r="AW110" i="1" s="1"/>
  <c r="AR110" i="1"/>
  <c r="AP110" i="1"/>
  <c r="AQ110" i="1" s="1"/>
  <c r="AV109" i="1" a="1"/>
  <c r="AV109" i="1"/>
  <c r="AU109" i="1" a="1"/>
  <c r="AU109" i="1"/>
  <c r="AT109" i="1"/>
  <c r="AW109" i="1" s="1"/>
  <c r="AR109" i="1"/>
  <c r="AP109" i="1"/>
  <c r="AQ109" i="1" s="1"/>
  <c r="AS109" i="1" s="1"/>
  <c r="AV108" i="1" a="1"/>
  <c r="AV108" i="1"/>
  <c r="AU108" i="1" a="1"/>
  <c r="AU108" i="1"/>
  <c r="AT108" i="1"/>
  <c r="AW108" i="1" s="1"/>
  <c r="AR108" i="1"/>
  <c r="AP108" i="1"/>
  <c r="AQ108" i="1" s="1"/>
  <c r="AS108" i="1" s="1"/>
  <c r="AV107" i="1" a="1"/>
  <c r="AV107" i="1"/>
  <c r="AU107" i="1" a="1"/>
  <c r="AU107" i="1"/>
  <c r="AT107" i="1"/>
  <c r="AW107" i="1" s="1"/>
  <c r="AR107" i="1"/>
  <c r="AP107" i="1"/>
  <c r="AQ107" i="1" s="1"/>
  <c r="AS107" i="1" s="1"/>
  <c r="AV106" i="1" a="1"/>
  <c r="AV106" i="1"/>
  <c r="AU106" i="1" a="1"/>
  <c r="AU106" i="1"/>
  <c r="AT106" i="1"/>
  <c r="AW106" i="1" s="1"/>
  <c r="AR106" i="1"/>
  <c r="AP106" i="1"/>
  <c r="AQ106" i="1" s="1"/>
  <c r="AS106" i="1" s="1"/>
  <c r="AV105" i="1" a="1"/>
  <c r="AV105" i="1"/>
  <c r="AU105" i="1" a="1"/>
  <c r="AU105" i="1"/>
  <c r="AT105" i="1"/>
  <c r="AW105" i="1" s="1"/>
  <c r="AR105" i="1"/>
  <c r="AP105" i="1"/>
  <c r="AQ105" i="1" s="1"/>
  <c r="AS105" i="1" s="1"/>
  <c r="AV104" i="1" a="1"/>
  <c r="AV104" i="1"/>
  <c r="AU104" i="1" a="1"/>
  <c r="AU104" i="1"/>
  <c r="AT104" i="1"/>
  <c r="AW104" i="1" s="1"/>
  <c r="AR104" i="1"/>
  <c r="AP104" i="1"/>
  <c r="AQ104" i="1" s="1"/>
  <c r="AV103" i="1" a="1"/>
  <c r="AV103" i="1" s="1"/>
  <c r="AU103" i="1" a="1"/>
  <c r="AU103" i="1"/>
  <c r="AT103" i="1"/>
  <c r="AW103" i="1" s="1"/>
  <c r="AR103" i="1"/>
  <c r="AP103" i="1"/>
  <c r="AQ103" i="1" s="1"/>
  <c r="AS103" i="1" s="1"/>
  <c r="AV102" i="1" a="1"/>
  <c r="AV102" i="1"/>
  <c r="AU102" i="1" a="1"/>
  <c r="AU102" i="1"/>
  <c r="AT102" i="1"/>
  <c r="AW102" i="1" s="1"/>
  <c r="AR102" i="1"/>
  <c r="AP102" i="1"/>
  <c r="AQ102" i="1" s="1"/>
  <c r="AS102" i="1" s="1"/>
  <c r="AV101" i="1" a="1"/>
  <c r="AV101" i="1"/>
  <c r="AU101" i="1" a="1"/>
  <c r="AU101" i="1"/>
  <c r="AT101" i="1"/>
  <c r="AW101" i="1" s="1"/>
  <c r="AR101" i="1"/>
  <c r="AP101" i="1"/>
  <c r="AQ101" i="1" s="1"/>
  <c r="AS101" i="1" s="1"/>
  <c r="AV100" i="1" a="1"/>
  <c r="AV100" i="1"/>
  <c r="AU100" i="1" a="1"/>
  <c r="AU100" i="1"/>
  <c r="AT100" i="1"/>
  <c r="AW100" i="1" s="1"/>
  <c r="AR100" i="1"/>
  <c r="AP100" i="1"/>
  <c r="AQ100" i="1" s="1"/>
  <c r="AS100" i="1" s="1"/>
  <c r="AV99" i="1" a="1"/>
  <c r="AV99" i="1"/>
  <c r="AU99" i="1" a="1"/>
  <c r="AU99" i="1"/>
  <c r="AT99" i="1"/>
  <c r="AW99" i="1" s="1"/>
  <c r="AR99" i="1"/>
  <c r="AP99" i="1"/>
  <c r="AQ99" i="1" s="1"/>
  <c r="AS99" i="1" s="1"/>
  <c r="AV98" i="1" a="1"/>
  <c r="AV98" i="1"/>
  <c r="AU98" i="1" a="1"/>
  <c r="AU98" i="1"/>
  <c r="AT98" i="1"/>
  <c r="AW98" i="1" s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/>
  <c r="AU96" i="1" a="1"/>
  <c r="AU96" i="1"/>
  <c r="AT96" i="1"/>
  <c r="AW96" i="1" s="1"/>
  <c r="AR96" i="1"/>
  <c r="AP96" i="1"/>
  <c r="AQ96" i="1" s="1"/>
  <c r="AS96" i="1" s="1"/>
  <c r="AV95" i="1" a="1"/>
  <c r="AV95" i="1"/>
  <c r="AU95" i="1" a="1"/>
  <c r="AU95" i="1" s="1"/>
  <c r="AW95" i="1" s="1"/>
  <c r="AT95" i="1"/>
  <c r="AR95" i="1"/>
  <c r="AP95" i="1"/>
  <c r="AQ95" i="1" s="1"/>
  <c r="AV94" i="1" a="1"/>
  <c r="AV94" i="1" s="1"/>
  <c r="AU94" i="1" a="1"/>
  <c r="AU94" i="1" s="1"/>
  <c r="AW94" i="1" s="1"/>
  <c r="AT94" i="1"/>
  <c r="AR94" i="1"/>
  <c r="AP94" i="1"/>
  <c r="AQ94" i="1" s="1"/>
  <c r="AV93" i="1" a="1"/>
  <c r="AV93" i="1" s="1"/>
  <c r="AU93" i="1" a="1"/>
  <c r="AU93" i="1" s="1"/>
  <c r="AW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W90" i="1" s="1"/>
  <c r="AT90" i="1"/>
  <c r="AR90" i="1"/>
  <c r="AP90" i="1"/>
  <c r="AQ90" i="1" s="1"/>
  <c r="AV89" i="1" a="1"/>
  <c r="AV89" i="1" s="1"/>
  <c r="AU89" i="1" a="1"/>
  <c r="AU89" i="1" s="1"/>
  <c r="AW89" i="1" s="1"/>
  <c r="AT89" i="1"/>
  <c r="AR89" i="1"/>
  <c r="AP89" i="1"/>
  <c r="AQ89" i="1" s="1"/>
  <c r="AV88" i="1" a="1"/>
  <c r="AV88" i="1" s="1"/>
  <c r="AU88" i="1" a="1"/>
  <c r="AU88" i="1" s="1"/>
  <c r="AW88" i="1" s="1"/>
  <c r="AT88" i="1"/>
  <c r="AR88" i="1"/>
  <c r="AP88" i="1"/>
  <c r="AQ88" i="1" s="1"/>
  <c r="AS88" i="1" s="1"/>
  <c r="AV87" i="1" a="1"/>
  <c r="AV87" i="1" s="1"/>
  <c r="AU87" i="1" a="1"/>
  <c r="AU87" i="1" s="1"/>
  <c r="AW87" i="1" s="1"/>
  <c r="AT87" i="1"/>
  <c r="AR87" i="1"/>
  <c r="AP87" i="1"/>
  <c r="AQ87" i="1" s="1"/>
  <c r="AV86" i="1" a="1"/>
  <c r="AV86" i="1" s="1"/>
  <c r="AU86" i="1" a="1"/>
  <c r="AU86" i="1" s="1"/>
  <c r="AW86" i="1" s="1"/>
  <c r="AT86" i="1"/>
  <c r="AR86" i="1"/>
  <c r="AP86" i="1"/>
  <c r="AQ86" i="1" s="1"/>
  <c r="AV85" i="1" a="1"/>
  <c r="AV85" i="1" s="1"/>
  <c r="AU85" i="1" a="1"/>
  <c r="AU85" i="1" s="1"/>
  <c r="AW85" i="1" s="1"/>
  <c r="AT85" i="1"/>
  <c r="AR85" i="1"/>
  <c r="AP85" i="1"/>
  <c r="AQ85" i="1" s="1"/>
  <c r="AV84" i="1" a="1"/>
  <c r="AV84" i="1" s="1"/>
  <c r="AU84" i="1" a="1"/>
  <c r="AU84" i="1" s="1"/>
  <c r="AW84" i="1" s="1"/>
  <c r="AT84" i="1"/>
  <c r="AR84" i="1"/>
  <c r="AP84" i="1"/>
  <c r="AQ84" i="1" s="1"/>
  <c r="AV83" i="1" a="1"/>
  <c r="AV83" i="1" s="1"/>
  <c r="AU83" i="1" a="1"/>
  <c r="AU83" i="1" s="1"/>
  <c r="AW83" i="1" s="1"/>
  <c r="AT83" i="1"/>
  <c r="AR83" i="1"/>
  <c r="AP83" i="1"/>
  <c r="AQ83" i="1" s="1"/>
  <c r="AV82" i="1" a="1"/>
  <c r="AV82" i="1" s="1"/>
  <c r="AU82" i="1" a="1"/>
  <c r="AU82" i="1" s="1"/>
  <c r="AW82" i="1" s="1"/>
  <c r="AT82" i="1"/>
  <c r="AR82" i="1"/>
  <c r="AP82" i="1"/>
  <c r="AQ82" i="1" s="1"/>
  <c r="AV81" i="1" a="1"/>
  <c r="AV81" i="1" s="1"/>
  <c r="AU81" i="1" a="1"/>
  <c r="AU81" i="1" s="1"/>
  <c r="AW81" i="1" s="1"/>
  <c r="AT81" i="1"/>
  <c r="AR81" i="1"/>
  <c r="AP81" i="1"/>
  <c r="AQ81" i="1" s="1"/>
  <c r="AV80" i="1" a="1"/>
  <c r="AV80" i="1" s="1"/>
  <c r="AU80" i="1" a="1"/>
  <c r="AU80" i="1" s="1"/>
  <c r="AW80" i="1" s="1"/>
  <c r="AT80" i="1"/>
  <c r="AR80" i="1"/>
  <c r="AP80" i="1"/>
  <c r="AQ80" i="1" s="1"/>
  <c r="AS80" i="1" s="1"/>
  <c r="AV79" i="1" a="1"/>
  <c r="AV79" i="1" s="1"/>
  <c r="AU79" i="1" a="1"/>
  <c r="AU79" i="1" s="1"/>
  <c r="AW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W77" i="1" s="1"/>
  <c r="AT77" i="1"/>
  <c r="AR77" i="1"/>
  <c r="AP77" i="1"/>
  <c r="AQ77" i="1" s="1"/>
  <c r="AS77" i="1" s="1"/>
  <c r="AV76" i="1" a="1"/>
  <c r="AV76" i="1" s="1"/>
  <c r="AU76" i="1" a="1"/>
  <c r="AU76" i="1" s="1"/>
  <c r="AW76" i="1" s="1"/>
  <c r="AT76" i="1"/>
  <c r="AR76" i="1"/>
  <c r="AP76" i="1"/>
  <c r="AQ76" i="1" s="1"/>
  <c r="AV75" i="1" a="1"/>
  <c r="AV75" i="1" s="1"/>
  <c r="AU75" i="1" a="1"/>
  <c r="AU75" i="1" s="1"/>
  <c r="AW75" i="1" s="1"/>
  <c r="AT75" i="1"/>
  <c r="AR75" i="1"/>
  <c r="AP75" i="1"/>
  <c r="AQ75" i="1" s="1"/>
  <c r="AS75" i="1" s="1"/>
  <c r="AV74" i="1" a="1"/>
  <c r="AV74" i="1" s="1"/>
  <c r="AU74" i="1" a="1"/>
  <c r="AU74" i="1"/>
  <c r="AT74" i="1"/>
  <c r="AW74" i="1" s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W71" i="1" s="1"/>
  <c r="AT71" i="1"/>
  <c r="AR71" i="1"/>
  <c r="AP71" i="1"/>
  <c r="AQ71" i="1" s="1"/>
  <c r="AS71" i="1" s="1"/>
  <c r="AV70" i="1" a="1"/>
  <c r="AV70" i="1" s="1"/>
  <c r="AU70" i="1" a="1"/>
  <c r="AU70" i="1" s="1"/>
  <c r="AW70" i="1" s="1"/>
  <c r="AT70" i="1"/>
  <c r="AR70" i="1"/>
  <c r="AP70" i="1"/>
  <c r="AQ70" i="1" s="1"/>
  <c r="AV69" i="1" a="1"/>
  <c r="AV69" i="1" s="1"/>
  <c r="AU69" i="1" a="1"/>
  <c r="AU69" i="1"/>
  <c r="AT69" i="1"/>
  <c r="AW69" i="1" s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W64" i="1" s="1"/>
  <c r="AT64" i="1"/>
  <c r="AR64" i="1"/>
  <c r="AP64" i="1"/>
  <c r="AQ64" i="1" s="1"/>
  <c r="AS64" i="1" s="1"/>
  <c r="AV63" i="1" a="1"/>
  <c r="AV63" i="1" s="1"/>
  <c r="AU63" i="1" a="1"/>
  <c r="AU63" i="1" s="1"/>
  <c r="AW63" i="1" s="1"/>
  <c r="AT63" i="1"/>
  <c r="AR63" i="1"/>
  <c r="AP63" i="1"/>
  <c r="AQ63" i="1" s="1"/>
  <c r="AV62" i="1" a="1"/>
  <c r="AV62" i="1" s="1"/>
  <c r="AU62" i="1" a="1"/>
  <c r="AU62" i="1" s="1"/>
  <c r="AW62" i="1" s="1"/>
  <c r="AT62" i="1"/>
  <c r="AR62" i="1"/>
  <c r="AP62" i="1"/>
  <c r="AQ62" i="1" s="1"/>
  <c r="AV61" i="1" a="1"/>
  <c r="AV61" i="1" s="1"/>
  <c r="AU61" i="1" a="1"/>
  <c r="AU61" i="1" s="1"/>
  <c r="AW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/>
  <c r="AT58" i="1"/>
  <c r="AW58" i="1" s="1"/>
  <c r="AR58" i="1"/>
  <c r="AP58" i="1"/>
  <c r="AQ58" i="1" s="1"/>
  <c r="AS58" i="1" s="1"/>
  <c r="AV57" i="1" a="1"/>
  <c r="AV57" i="1"/>
  <c r="AU57" i="1" a="1"/>
  <c r="AU57" i="1" s="1"/>
  <c r="AW57" i="1" s="1"/>
  <c r="AT57" i="1"/>
  <c r="AR57" i="1"/>
  <c r="AP57" i="1"/>
  <c r="AQ57" i="1" s="1"/>
  <c r="AV56" i="1" a="1"/>
  <c r="AV56" i="1" s="1"/>
  <c r="AU56" i="1" a="1"/>
  <c r="AU56" i="1" s="1"/>
  <c r="AW56" i="1" s="1"/>
  <c r="AT56" i="1"/>
  <c r="AR56" i="1"/>
  <c r="AP56" i="1"/>
  <c r="AQ56" i="1" s="1"/>
  <c r="AV55" i="1" a="1"/>
  <c r="AV55" i="1" s="1"/>
  <c r="AU55" i="1" a="1"/>
  <c r="AU55" i="1" s="1"/>
  <c r="AW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/>
  <c r="AU51" i="1" a="1"/>
  <c r="AU51" i="1"/>
  <c r="AT51" i="1"/>
  <c r="AW51" i="1" s="1"/>
  <c r="AR51" i="1"/>
  <c r="AP51" i="1"/>
  <c r="AQ51" i="1" s="1"/>
  <c r="AS51" i="1" s="1"/>
  <c r="AV50" i="1" a="1"/>
  <c r="AV50" i="1"/>
  <c r="AU50" i="1" a="1"/>
  <c r="AU50" i="1"/>
  <c r="AT50" i="1"/>
  <c r="AW50" i="1" s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W45" i="1" s="1"/>
  <c r="AR45" i="1"/>
  <c r="AP45" i="1"/>
  <c r="AQ45" i="1" s="1"/>
  <c r="AS45" i="1" s="1"/>
  <c r="AV44" i="1" a="1"/>
  <c r="AV44" i="1" s="1"/>
  <c r="AU44" i="1" a="1"/>
  <c r="AU44" i="1" s="1"/>
  <c r="AW44" i="1" s="1"/>
  <c r="AT44" i="1"/>
  <c r="AR44" i="1"/>
  <c r="AP44" i="1"/>
  <c r="AQ44" i="1" s="1"/>
  <c r="AS44" i="1" s="1"/>
  <c r="AV43" i="1" a="1"/>
  <c r="AV43" i="1" s="1"/>
  <c r="AU43" i="1" a="1"/>
  <c r="AU43" i="1" s="1"/>
  <c r="AW43" i="1" s="1"/>
  <c r="AT43" i="1"/>
  <c r="AR43" i="1"/>
  <c r="AP43" i="1"/>
  <c r="AQ43" i="1" s="1"/>
  <c r="AS43" i="1" s="1"/>
  <c r="AV42" i="1" a="1"/>
  <c r="AV42" i="1"/>
  <c r="AU42" i="1" a="1"/>
  <c r="AU42" i="1" s="1"/>
  <c r="AW42" i="1" s="1"/>
  <c r="AT42" i="1"/>
  <c r="AR42" i="1"/>
  <c r="AP42" i="1"/>
  <c r="AQ42" i="1" s="1"/>
  <c r="AV41" i="1" a="1"/>
  <c r="AV41" i="1" s="1"/>
  <c r="AU41" i="1" a="1"/>
  <c r="AU41" i="1" s="1"/>
  <c r="AW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/>
  <c r="AU38" i="1" a="1"/>
  <c r="AU38" i="1"/>
  <c r="AT38" i="1"/>
  <c r="AW38" i="1" s="1"/>
  <c r="AR38" i="1"/>
  <c r="AP38" i="1"/>
  <c r="AQ38" i="1" s="1"/>
  <c r="AS38" i="1" s="1"/>
  <c r="AV37" i="1" a="1"/>
  <c r="AV37" i="1" s="1"/>
  <c r="AU37" i="1" a="1"/>
  <c r="AU37" i="1" s="1"/>
  <c r="AW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W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/>
  <c r="AT32" i="1"/>
  <c r="AW32" i="1" s="1"/>
  <c r="AR32" i="1"/>
  <c r="AP32" i="1"/>
  <c r="AQ32" i="1" s="1"/>
  <c r="AS32" i="1" s="1"/>
  <c r="AV31" i="1" a="1"/>
  <c r="AV31" i="1"/>
  <c r="AU31" i="1" a="1"/>
  <c r="AU31" i="1"/>
  <c r="AT31" i="1"/>
  <c r="AW31" i="1" s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/>
  <c r="AU25" i="1" a="1"/>
  <c r="AU25" i="1"/>
  <c r="AT25" i="1"/>
  <c r="AW25" i="1" s="1"/>
  <c r="AR25" i="1"/>
  <c r="AP25" i="1"/>
  <c r="AQ25" i="1" s="1"/>
  <c r="AS25" i="1" s="1"/>
  <c r="AV24" i="1" a="1"/>
  <c r="AV24" i="1" s="1"/>
  <c r="AU24" i="1" a="1"/>
  <c r="AU24" i="1" s="1"/>
  <c r="AW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/>
  <c r="AU19" i="1" a="1"/>
  <c r="AU19" i="1"/>
  <c r="AT19" i="1"/>
  <c r="AW19" i="1" s="1"/>
  <c r="AR19" i="1"/>
  <c r="AP19" i="1"/>
  <c r="AQ19" i="1" s="1"/>
  <c r="AS19" i="1" s="1"/>
  <c r="AV18" i="1" a="1"/>
  <c r="AV18" i="1"/>
  <c r="AU18" i="1" a="1"/>
  <c r="AU18" i="1"/>
  <c r="AT18" i="1"/>
  <c r="AW18" i="1" s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/>
  <c r="AU12" i="1" a="1"/>
  <c r="AU12" i="1"/>
  <c r="AT12" i="1"/>
  <c r="AW12" i="1" s="1"/>
  <c r="AR12" i="1"/>
  <c r="AP12" i="1"/>
  <c r="AQ12" i="1" s="1"/>
  <c r="AS12" i="1" s="1"/>
  <c r="AV11" i="1" a="1"/>
  <c r="AV11" i="1"/>
  <c r="AU11" i="1" a="1"/>
  <c r="AU11" i="1"/>
  <c r="AT11" i="1"/>
  <c r="AW11" i="1" s="1"/>
  <c r="AR11" i="1"/>
  <c r="AP11" i="1"/>
  <c r="AQ11" i="1" s="1"/>
  <c r="AS11" i="1" s="1"/>
  <c r="AV10" i="1" a="1"/>
  <c r="AV10" i="1" s="1"/>
  <c r="AU10" i="1" a="1"/>
  <c r="AU10" i="1" s="1"/>
  <c r="AT10" i="1"/>
  <c r="AW10" i="1" s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W7" i="1" s="1"/>
  <c r="AR7" i="1"/>
  <c r="AP7" i="1"/>
  <c r="AQ7" i="1" s="1"/>
  <c r="AS7" i="1" s="1"/>
  <c r="AV6" i="1" a="1"/>
  <c r="AV6" i="1"/>
  <c r="AU6" i="1" a="1"/>
  <c r="AU6" i="1"/>
  <c r="AT6" i="1"/>
  <c r="AW6" i="1" s="1"/>
  <c r="AR6" i="1"/>
  <c r="AP6" i="1"/>
  <c r="AQ6" i="1" s="1"/>
  <c r="AS6" i="1" s="1"/>
  <c r="AV5" i="1" a="1"/>
  <c r="AV5" i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287" i="1" l="1"/>
  <c r="AS284" i="1"/>
  <c r="AS274" i="1"/>
  <c r="AS264" i="1"/>
  <c r="AS278" i="1"/>
  <c r="AS163" i="1"/>
  <c r="AS151" i="1"/>
  <c r="AS144" i="1"/>
  <c r="AW23" i="1"/>
  <c r="AS22" i="1"/>
  <c r="AS222" i="1"/>
  <c r="AW219" i="1"/>
  <c r="AS218" i="1"/>
  <c r="AW216" i="1"/>
  <c r="AS168" i="1"/>
  <c r="AS161" i="1"/>
  <c r="AW150" i="1"/>
  <c r="AS200" i="1"/>
  <c r="AW149" i="1"/>
  <c r="AS219" i="1"/>
  <c r="AW217" i="1"/>
  <c r="AS216" i="1"/>
  <c r="AW218" i="1"/>
  <c r="AW8" i="1"/>
  <c r="AW258" i="1"/>
  <c r="AW257" i="1"/>
  <c r="AS243" i="1"/>
  <c r="AW235" i="1"/>
  <c r="AS193" i="1"/>
  <c r="AW17" i="1"/>
  <c r="AS205" i="1"/>
  <c r="AS189" i="1"/>
  <c r="AS181" i="1"/>
  <c r="AW226" i="1"/>
  <c r="AW167" i="1"/>
  <c r="AS170" i="1"/>
  <c r="AW143" i="1"/>
  <c r="AW156" i="1"/>
  <c r="AS157" i="1"/>
  <c r="AS148" i="1"/>
  <c r="AW130" i="1"/>
  <c r="AS84" i="1"/>
  <c r="AS83" i="1"/>
  <c r="AS82" i="1"/>
  <c r="AW129" i="1"/>
  <c r="AS87" i="1"/>
  <c r="AW123" i="1"/>
  <c r="AS90" i="1"/>
  <c r="AS89" i="1"/>
  <c r="AS94" i="1"/>
  <c r="AS81" i="1"/>
  <c r="AS95" i="1"/>
  <c r="AS86" i="1"/>
  <c r="AW97" i="1"/>
  <c r="AS76" i="1"/>
  <c r="AS74" i="1"/>
  <c r="AS70" i="1"/>
  <c r="AS69" i="1"/>
  <c r="AS62" i="1"/>
  <c r="AS61" i="1"/>
  <c r="AW73" i="1"/>
  <c r="AW30" i="1"/>
  <c r="AW9" i="1"/>
  <c r="AS63" i="1"/>
  <c r="AS57" i="1"/>
  <c r="AW59" i="1"/>
  <c r="AW53" i="1"/>
  <c r="AW49" i="1"/>
  <c r="AW48" i="1"/>
  <c r="AW40" i="1"/>
  <c r="AW39" i="1"/>
  <c r="AW26" i="1"/>
  <c r="AW13" i="1"/>
  <c r="AW5" i="1"/>
  <c r="AW151" i="1"/>
  <c r="AW144" i="1"/>
  <c r="AW206" i="1"/>
  <c r="AS150" i="1"/>
  <c r="AS174" i="1"/>
  <c r="AW157" i="1"/>
  <c r="AS235" i="1"/>
  <c r="AS143" i="1"/>
  <c r="AS30" i="1"/>
  <c r="AS255" i="1"/>
  <c r="AS252" i="1"/>
  <c r="AW251" i="1"/>
  <c r="AS239" i="1"/>
  <c r="AW16" i="1"/>
  <c r="AW245" i="1"/>
  <c r="AW238" i="1"/>
  <c r="AS238" i="1"/>
  <c r="AW236" i="1"/>
  <c r="AS217" i="1"/>
  <c r="AS172" i="1"/>
  <c r="AW237" i="1"/>
  <c r="AS213" i="1"/>
  <c r="AW287" i="1"/>
  <c r="AW285" i="1"/>
  <c r="AS283" i="1"/>
  <c r="AW282" i="1"/>
  <c r="AW281" i="1"/>
  <c r="AS281" i="1"/>
  <c r="AW280" i="1"/>
  <c r="AW279" i="1"/>
  <c r="AW274" i="1"/>
  <c r="AS263" i="1"/>
  <c r="AS257" i="1"/>
  <c r="AS250" i="1"/>
  <c r="AS249" i="1"/>
  <c r="AS229" i="1"/>
  <c r="AW278" i="1"/>
  <c r="AW273" i="1"/>
  <c r="AS268" i="1"/>
  <c r="AW266" i="1"/>
  <c r="AS262" i="1"/>
  <c r="AS261" i="1"/>
  <c r="AW260" i="1"/>
  <c r="AW259" i="1"/>
  <c r="AS246" i="1"/>
  <c r="AW225" i="1"/>
  <c r="AW224" i="1"/>
  <c r="AW188" i="1"/>
  <c r="AS186" i="1"/>
  <c r="AW184" i="1"/>
  <c r="AW183" i="1"/>
  <c r="AS182" i="1"/>
  <c r="AS179" i="1"/>
  <c r="AW288" i="1"/>
  <c r="AS276" i="1"/>
  <c r="AW268" i="1"/>
  <c r="AW247" i="1"/>
  <c r="AS247" i="1"/>
  <c r="AS245" i="1"/>
  <c r="AW223" i="1"/>
  <c r="AS210" i="1"/>
  <c r="AW201" i="1"/>
  <c r="AW191" i="1"/>
  <c r="AS183" i="1"/>
  <c r="AW181" i="1"/>
  <c r="AW286" i="1"/>
  <c r="AW275" i="1"/>
  <c r="AW265" i="1"/>
  <c r="AW253" i="1"/>
  <c r="AS253" i="1"/>
  <c r="AW249" i="1"/>
  <c r="AW248" i="1"/>
  <c r="AS244" i="1"/>
  <c r="AS234" i="1"/>
  <c r="AW233" i="1"/>
  <c r="AW231" i="1"/>
  <c r="AS230" i="1"/>
  <c r="AW228" i="1"/>
  <c r="AS228" i="1"/>
  <c r="AS227" i="1"/>
  <c r="AS225" i="1"/>
  <c r="AS221" i="1"/>
  <c r="AW211" i="1"/>
  <c r="AW209" i="1"/>
  <c r="AW208" i="1"/>
  <c r="AW207" i="1"/>
  <c r="AW196" i="1"/>
  <c r="AS66" i="1"/>
  <c r="AS288" i="1"/>
  <c r="AW267" i="1"/>
  <c r="AS248" i="1"/>
  <c r="AW241" i="1"/>
  <c r="AS241" i="1"/>
  <c r="AW240" i="1"/>
  <c r="AS240" i="1"/>
  <c r="AW212" i="1"/>
  <c r="AS270" i="1"/>
  <c r="AW261" i="1"/>
  <c r="AS251" i="1"/>
  <c r="AW246" i="1"/>
  <c r="AW242" i="1"/>
  <c r="AS220" i="1"/>
  <c r="AS201" i="1"/>
  <c r="AS198" i="1"/>
  <c r="AW272" i="1"/>
  <c r="AS269" i="1"/>
  <c r="AS259" i="1"/>
  <c r="AW202" i="1"/>
  <c r="AS191" i="1"/>
  <c r="AW189" i="1"/>
  <c r="AS188" i="1"/>
  <c r="AS176" i="1"/>
  <c r="AW169" i="1"/>
  <c r="AS165" i="1"/>
  <c r="AS273" i="1"/>
  <c r="AS267" i="1"/>
  <c r="AS260" i="1"/>
  <c r="AW255" i="1"/>
  <c r="AW254" i="1"/>
  <c r="AS242" i="1"/>
  <c r="AS203" i="1"/>
  <c r="AS190" i="1"/>
  <c r="AS266" i="1"/>
  <c r="AS256" i="1"/>
  <c r="AW220" i="1"/>
  <c r="AW204" i="1"/>
  <c r="AS166" i="1"/>
  <c r="AW162" i="1"/>
  <c r="AW20" i="1"/>
  <c r="AS265" i="1"/>
  <c r="AW252" i="1"/>
  <c r="AS232" i="1"/>
  <c r="AW222" i="1"/>
  <c r="AW178" i="1"/>
  <c r="AW172" i="1"/>
  <c r="AW170" i="1"/>
  <c r="AW229" i="1"/>
  <c r="AW166" i="1"/>
  <c r="AW234" i="1"/>
  <c r="AS231" i="1"/>
  <c r="AS215" i="1"/>
  <c r="AS211" i="1"/>
  <c r="AS208" i="1"/>
  <c r="AS21" i="1"/>
  <c r="AW230" i="1"/>
  <c r="AS47" i="1"/>
  <c r="AW215" i="1"/>
  <c r="AS214" i="1"/>
  <c r="AS212" i="1"/>
  <c r="AS209" i="1"/>
  <c r="AS202" i="1"/>
  <c r="AW185" i="1"/>
  <c r="AS184" i="1"/>
  <c r="AS175" i="1"/>
  <c r="AS164" i="1"/>
  <c r="AW33" i="1"/>
  <c r="AW205" i="1"/>
  <c r="AW198" i="1"/>
  <c r="AW182" i="1"/>
  <c r="AS185" i="1"/>
  <c r="AS207" i="1"/>
  <c r="AS204" i="1"/>
  <c r="AW197" i="1"/>
  <c r="AS173" i="1"/>
  <c r="AS194" i="1"/>
  <c r="AW47" i="1"/>
  <c r="AS29" i="1"/>
  <c r="AW67" i="1"/>
  <c r="AW28" i="1"/>
  <c r="AS48" i="1"/>
  <c r="AS33" i="1"/>
  <c r="AS92" i="1"/>
  <c r="AS14" i="1"/>
  <c r="AS68" i="1"/>
  <c r="AW65" i="1"/>
  <c r="AS60" i="1"/>
  <c r="AS130" i="1"/>
  <c r="AS93" i="1"/>
  <c r="AW46" i="1"/>
  <c r="AS42" i="1"/>
  <c r="AS40" i="1"/>
  <c r="AW54" i="1"/>
  <c r="AW15" i="1"/>
  <c r="AS104" i="1"/>
  <c r="AS78" i="1"/>
  <c r="AS54" i="1"/>
  <c r="AW14" i="1"/>
  <c r="AS110" i="1"/>
  <c r="AW91" i="1"/>
  <c r="AW78" i="1"/>
  <c r="AW72" i="1"/>
  <c r="AS56" i="1"/>
  <c r="AS85" i="1"/>
  <c r="AS55" i="1"/>
  <c r="AW34" i="1"/>
  <c r="AW92" i="1"/>
  <c r="AS23" i="1"/>
  <c r="AW60" i="1"/>
  <c r="AS79" i="1"/>
  <c r="AW68" i="1"/>
  <c r="AS67" i="1"/>
  <c r="AS35" i="1"/>
  <c r="AW66" i="1"/>
  <c r="AS46" i="1"/>
  <c r="AW22" i="1"/>
  <c r="AW21" i="1"/>
  <c r="AW36" i="1"/>
  <c r="AS15" i="1"/>
  <c r="AW29" i="1"/>
  <c r="AP2" i="1"/>
  <c r="AW52" i="1"/>
  <c r="AS169" i="1"/>
  <c r="AW171" i="1"/>
  <c r="AW165" i="1"/>
  <c r="AS233" i="1"/>
  <c r="AS196" i="1"/>
  <c r="AW190" i="1"/>
  <c r="AW27" i="1"/>
  <c r="AW203" i="1"/>
  <c r="AS27" i="1"/>
  <c r="AW221" i="1"/>
  <c r="AS197" i="1"/>
  <c r="AW164" i="1"/>
  <c r="AS199" i="1"/>
  <c r="AW195" i="1"/>
  <c r="AW194" i="1"/>
  <c r="AS177" i="1"/>
  <c r="AW175" i="1"/>
  <c r="AW214" i="1"/>
  <c r="AS178" i="1"/>
  <c r="AW227" i="1"/>
  <c r="AW210" i="1"/>
  <c r="AW145" i="1"/>
  <c r="AW176" i="1"/>
  <c r="AW199" i="1"/>
  <c r="AW163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<sst xmlns="http://schemas.openxmlformats.org/spreadsheetml/2006/main" count="3701" uniqueCount="1289">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</sst>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166" fontId="45" fillId="39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topLeftCell="Q247" zoomScale="80" zoomScaleNormal="80" workbookViewId="0">
      <selection activeCell="AG1" sqref="AG1:AH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236" width="32.42578125" style="51" customWidth="1"/>
    <col min="237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OCTUBRE</v>
      </c>
      <c r="E2" s="80">
        <v>10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38.200000000000003</v>
      </c>
      <c r="L2" s="92">
        <f t="shared" si="0"/>
        <v>38.4</v>
      </c>
      <c r="M2" s="92">
        <f t="shared" si="0"/>
        <v>37.200000000000003</v>
      </c>
      <c r="N2" s="92">
        <f t="shared" si="0"/>
        <v>37.200000000000003</v>
      </c>
      <c r="O2" s="92">
        <f t="shared" si="0"/>
        <v>40.799999999999997</v>
      </c>
      <c r="P2" s="92">
        <f t="shared" si="0"/>
        <v>39.200000000000003</v>
      </c>
      <c r="Q2" s="92">
        <f t="shared" si="0"/>
        <v>38.4</v>
      </c>
      <c r="R2" s="92">
        <f t="shared" si="0"/>
        <v>37.799999999999997</v>
      </c>
      <c r="S2" s="92">
        <f t="shared" si="0"/>
        <v>37.6</v>
      </c>
      <c r="T2" s="92">
        <f t="shared" si="0"/>
        <v>37.200000000000003</v>
      </c>
      <c r="U2" s="92">
        <f t="shared" si="0"/>
        <v>38.4</v>
      </c>
      <c r="V2" s="92">
        <f t="shared" si="0"/>
        <v>36.799999999999997</v>
      </c>
      <c r="W2" s="92">
        <f t="shared" si="0"/>
        <v>35.6</v>
      </c>
      <c r="X2" s="92">
        <f t="shared" si="0"/>
        <v>37.4</v>
      </c>
      <c r="Y2" s="92">
        <f t="shared" si="0"/>
        <v>40.4</v>
      </c>
      <c r="Z2" s="92">
        <f t="shared" si="0"/>
        <v>38.200000000000003</v>
      </c>
      <c r="AA2" s="92">
        <f t="shared" si="0"/>
        <v>38.4</v>
      </c>
      <c r="AB2" s="92">
        <f t="shared" si="0"/>
        <v>37.200000000000003</v>
      </c>
      <c r="AC2" s="92">
        <f t="shared" si="0"/>
        <v>39.4</v>
      </c>
      <c r="AD2" s="92">
        <f t="shared" si="0"/>
        <v>40.4</v>
      </c>
      <c r="AE2" s="92">
        <f t="shared" si="0"/>
        <v>34.6</v>
      </c>
      <c r="AF2" s="92">
        <f t="shared" si="0"/>
        <v>40.4</v>
      </c>
      <c r="AG2" s="92">
        <f t="shared" si="0"/>
        <v>41</v>
      </c>
      <c r="AH2" s="92">
        <f t="shared" si="0"/>
        <v>37.799999999999997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32.1</v>
      </c>
      <c r="L5" s="66">
        <v>32</v>
      </c>
      <c r="M5" s="66">
        <v>32.5</v>
      </c>
      <c r="N5" s="66">
        <v>32</v>
      </c>
      <c r="O5" s="66">
        <v>32.1</v>
      </c>
      <c r="P5" s="66">
        <v>32</v>
      </c>
      <c r="Q5" s="66">
        <v>32.1</v>
      </c>
      <c r="R5" s="66">
        <v>32</v>
      </c>
      <c r="S5" s="66">
        <v>32.1</v>
      </c>
      <c r="T5" s="66">
        <v>32.4</v>
      </c>
      <c r="U5" s="66">
        <v>31.7</v>
      </c>
      <c r="V5" s="66">
        <v>31.9</v>
      </c>
      <c r="W5" s="66">
        <v>32.4</v>
      </c>
      <c r="X5" s="66">
        <v>32.1</v>
      </c>
      <c r="Y5" s="66">
        <v>32.6</v>
      </c>
      <c r="Z5" s="66">
        <v>32.299999999999997</v>
      </c>
      <c r="AA5" s="66">
        <v>30</v>
      </c>
      <c r="AB5" s="66">
        <v>31.5</v>
      </c>
      <c r="AC5" s="66">
        <v>30.8</v>
      </c>
      <c r="AD5" s="66">
        <v>31.5</v>
      </c>
      <c r="AE5" s="66">
        <v>30.6</v>
      </c>
      <c r="AF5" s="66">
        <v>31.6</v>
      </c>
      <c r="AG5" s="66">
        <v>31</v>
      </c>
      <c r="AH5" s="66">
        <v>30.7</v>
      </c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24</v>
      </c>
      <c r="AQ5" s="68">
        <f t="shared" ref="AQ5:AQ68" si="2">IF(AP5&gt;14,AVERAGE(K5:AO5),"")</f>
        <v>31.75</v>
      </c>
      <c r="AR5" s="68">
        <f>IFERROR(VLOOKUP(A5,Climatologia_TMAX!A:U,9+$E$2,FALSE),"")</f>
        <v>30.443359430706479</v>
      </c>
      <c r="AS5" s="68">
        <f t="shared" ref="AS5:AS68" si="3">IF(OR(AQ5="",AR5=""),"",IFERROR(AQ5-AR5,""))</f>
        <v>1.3066405692935206</v>
      </c>
      <c r="AT5" s="74">
        <f t="shared" ref="AT5:AT68" si="4">IF(COUNT(K5:AO5)=0,"",MAX(K5:AO5))</f>
        <v>32.6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33908</v>
      </c>
      <c r="AW5" s="69">
        <f t="shared" ref="AW5:AW68" si="5">IF(OR(AT5="",AU5=""),"NA",IFERROR(AT5-AU5,"NA"))</f>
        <v>-1.1000000000000014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31.9</v>
      </c>
      <c r="M6" s="66">
        <v>31.6</v>
      </c>
      <c r="N6" s="66">
        <v>32.1</v>
      </c>
      <c r="O6" s="66">
        <v>31.8</v>
      </c>
      <c r="P6" s="66">
        <v>30.8</v>
      </c>
      <c r="Q6" s="66">
        <v>31.8</v>
      </c>
      <c r="R6" s="66">
        <v>32.6</v>
      </c>
      <c r="S6" s="66">
        <v>32.200000000000003</v>
      </c>
      <c r="T6" s="66">
        <v>30.9</v>
      </c>
      <c r="U6" s="66">
        <v>31.1</v>
      </c>
      <c r="V6" s="66">
        <v>31.7</v>
      </c>
      <c r="W6" s="66">
        <v>32.1</v>
      </c>
      <c r="X6" s="66">
        <v>32.4</v>
      </c>
      <c r="Y6" s="66">
        <v>32.1</v>
      </c>
      <c r="Z6" s="66">
        <v>32.700000000000003</v>
      </c>
      <c r="AA6" s="66">
        <v>30.9</v>
      </c>
      <c r="AB6" s="66">
        <v>31.4</v>
      </c>
      <c r="AC6" s="66">
        <v>29.4</v>
      </c>
      <c r="AD6" s="66">
        <v>31.7</v>
      </c>
      <c r="AE6" s="66">
        <v>31.5</v>
      </c>
      <c r="AF6" s="66">
        <v>31.4</v>
      </c>
      <c r="AG6" s="66">
        <v>29.1</v>
      </c>
      <c r="AH6" s="66">
        <v>31.1</v>
      </c>
      <c r="AI6" s="66"/>
      <c r="AJ6" s="66"/>
      <c r="AK6" s="66"/>
      <c r="AL6" s="66"/>
      <c r="AM6" s="66"/>
      <c r="AN6" s="66"/>
      <c r="AO6" s="66"/>
      <c r="AP6" s="67">
        <f t="shared" si="1"/>
        <v>24</v>
      </c>
      <c r="AQ6" s="68">
        <f t="shared" si="2"/>
        <v>31.445833333333336</v>
      </c>
      <c r="AR6" s="68">
        <f>IFERROR(VLOOKUP(A6,Climatologia_TMAX!A:U,9+$E$2,FALSE),"")</f>
        <v>30.717848543332419</v>
      </c>
      <c r="AS6" s="68">
        <f t="shared" si="3"/>
        <v>0.72798479000091731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32.799999999999997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37905</v>
      </c>
      <c r="AW6" s="69">
        <f t="shared" si="5"/>
        <v>-9.9999999999994316E-2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34</v>
      </c>
      <c r="L7" s="66">
        <v>34.799999999999997</v>
      </c>
      <c r="M7" s="66">
        <v>32.799999999999997</v>
      </c>
      <c r="N7" s="66">
        <v>32.6</v>
      </c>
      <c r="O7" s="66">
        <v>34</v>
      </c>
      <c r="P7" s="66">
        <v>33.200000000000003</v>
      </c>
      <c r="Q7" s="66">
        <v>34.9</v>
      </c>
      <c r="R7" s="66">
        <v>33.799999999999997</v>
      </c>
      <c r="S7" s="66">
        <v>34.299999999999997</v>
      </c>
      <c r="T7" s="66">
        <v>34.6</v>
      </c>
      <c r="U7" s="66">
        <v>35.200000000000003</v>
      </c>
      <c r="V7" s="66">
        <v>34.799999999999997</v>
      </c>
      <c r="W7" s="66">
        <v>32.299999999999997</v>
      </c>
      <c r="X7" s="66">
        <v>32.6</v>
      </c>
      <c r="Y7" s="66">
        <v>35.200000000000003</v>
      </c>
      <c r="Z7" s="66">
        <v>34.6</v>
      </c>
      <c r="AA7" s="66">
        <v>34.700000000000003</v>
      </c>
      <c r="AB7" s="66">
        <v>33.6</v>
      </c>
      <c r="AC7" s="66">
        <v>33.4</v>
      </c>
      <c r="AD7" s="66">
        <v>33.630000000000003</v>
      </c>
      <c r="AE7" s="114">
        <v>30.4</v>
      </c>
      <c r="AF7" s="66">
        <v>34.4</v>
      </c>
      <c r="AG7" s="66">
        <v>34.6</v>
      </c>
      <c r="AH7" s="66">
        <v>34</v>
      </c>
      <c r="AI7" s="66"/>
      <c r="AJ7" s="66"/>
      <c r="AK7" s="66"/>
      <c r="AL7" s="66"/>
      <c r="AM7" s="66"/>
      <c r="AN7" s="66"/>
      <c r="AO7" s="66"/>
      <c r="AP7" s="67">
        <f t="shared" si="1"/>
        <v>24</v>
      </c>
      <c r="AQ7" s="68">
        <f t="shared" si="2"/>
        <v>33.85125</v>
      </c>
      <c r="AR7" s="68">
        <f>IFERROR(VLOOKUP(A7,Climatologia_TMAX!A:U,9+$E$2,FALSE),"")</f>
        <v>32.441611386675547</v>
      </c>
      <c r="AS7" s="68">
        <f t="shared" si="3"/>
        <v>1.4096386133244536</v>
      </c>
      <c r="AT7" s="74">
        <f t="shared" si="4"/>
        <v>35.200000000000003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36.200000000000003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7" s="69">
        <f t="shared" si="5"/>
        <v>-1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32.200000000000003</v>
      </c>
      <c r="L8" s="66">
        <v>33.299999999999997</v>
      </c>
      <c r="M8" s="66">
        <v>30</v>
      </c>
      <c r="N8" s="66">
        <v>34.4</v>
      </c>
      <c r="O8" s="66">
        <v>33.4</v>
      </c>
      <c r="P8" s="66">
        <v>30.7</v>
      </c>
      <c r="Q8" s="66">
        <v>31.3</v>
      </c>
      <c r="R8" s="66">
        <v>32.4</v>
      </c>
      <c r="S8" s="66">
        <v>33.200000000000003</v>
      </c>
      <c r="T8" s="66">
        <v>35.1</v>
      </c>
      <c r="U8" s="66">
        <v>34.1</v>
      </c>
      <c r="V8" s="66">
        <v>33.9</v>
      </c>
      <c r="W8" s="66">
        <v>30.8</v>
      </c>
      <c r="X8" s="66">
        <v>32.1</v>
      </c>
      <c r="Y8" s="66">
        <v>33.200000000000003</v>
      </c>
      <c r="Z8" s="66">
        <v>34.700000000000003</v>
      </c>
      <c r="AA8" s="66">
        <v>33.1</v>
      </c>
      <c r="AB8" s="66">
        <v>32</v>
      </c>
      <c r="AC8" s="66">
        <v>33.200000000000003</v>
      </c>
      <c r="AD8" s="66">
        <v>31.6</v>
      </c>
      <c r="AE8" s="66">
        <v>29.7</v>
      </c>
      <c r="AF8" s="66">
        <v>31.6</v>
      </c>
      <c r="AG8" s="66">
        <v>33.299999999999997</v>
      </c>
      <c r="AH8" s="66">
        <v>30.8</v>
      </c>
      <c r="AI8" s="66"/>
      <c r="AJ8" s="66"/>
      <c r="AK8" s="66"/>
      <c r="AL8" s="66"/>
      <c r="AM8" s="66"/>
      <c r="AN8" s="66"/>
      <c r="AO8" s="66"/>
      <c r="AP8" s="67">
        <f t="shared" si="1"/>
        <v>24</v>
      </c>
      <c r="AQ8" s="68">
        <f t="shared" si="2"/>
        <v>32.50416666666667</v>
      </c>
      <c r="AR8" s="68">
        <f>IFERROR(VLOOKUP(A8,Climatologia_TMAX!A:U,9+$E$2,FALSE),"")</f>
        <v>31.669577308120129</v>
      </c>
      <c r="AS8" s="68">
        <f t="shared" si="3"/>
        <v>0.83458935854654115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36.299999999999997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8" s="69">
        <f t="shared" si="5"/>
        <v>-1.1999999999999957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34.299999999999997</v>
      </c>
      <c r="L9" s="66">
        <v>35.6</v>
      </c>
      <c r="M9" s="66">
        <v>32.6</v>
      </c>
      <c r="N9" s="66">
        <v>33.299999999999997</v>
      </c>
      <c r="O9" s="66">
        <v>33.299999999999997</v>
      </c>
      <c r="P9" s="66">
        <v>32.799999999999997</v>
      </c>
      <c r="Q9" s="66">
        <v>33.1</v>
      </c>
      <c r="R9" s="66">
        <v>34.4</v>
      </c>
      <c r="S9" s="66">
        <v>37.1</v>
      </c>
      <c r="T9" s="66">
        <v>35</v>
      </c>
      <c r="U9" s="66">
        <v>36.299999999999997</v>
      </c>
      <c r="V9" s="66">
        <v>34.4</v>
      </c>
      <c r="W9" s="66">
        <v>30.7</v>
      </c>
      <c r="X9" s="66">
        <v>34.700000000000003</v>
      </c>
      <c r="Y9" s="66">
        <v>35.1</v>
      </c>
      <c r="Z9" s="66">
        <v>36.9</v>
      </c>
      <c r="AA9" s="66">
        <v>35.9</v>
      </c>
      <c r="AB9" s="66">
        <v>33.799999999999997</v>
      </c>
      <c r="AC9" s="66">
        <v>34.299999999999997</v>
      </c>
      <c r="AD9" s="66">
        <v>33.5</v>
      </c>
      <c r="AE9" s="66">
        <v>29</v>
      </c>
      <c r="AF9" s="66">
        <v>34.700000000000003</v>
      </c>
      <c r="AG9" s="66">
        <v>35.799999999999997</v>
      </c>
      <c r="AH9" s="66">
        <v>32.200000000000003</v>
      </c>
      <c r="AI9" s="66"/>
      <c r="AJ9" s="66"/>
      <c r="AK9" s="66"/>
      <c r="AL9" s="66"/>
      <c r="AM9" s="66"/>
      <c r="AN9" s="66"/>
      <c r="AO9" s="66"/>
      <c r="AP9" s="67">
        <f t="shared" si="1"/>
        <v>24</v>
      </c>
      <c r="AQ9" s="68">
        <f t="shared" si="2"/>
        <v>34.116666666666667</v>
      </c>
      <c r="AR9" s="68">
        <f>IFERROR(VLOOKUP(A9,Climatologia_TMAX!A:U,9+$E$2,FALSE),"")</f>
        <v>32.761763857435128</v>
      </c>
      <c r="AS9" s="68">
        <f t="shared" si="3"/>
        <v>1.3549028092315396</v>
      </c>
      <c r="AT9" s="74">
        <f t="shared" si="4"/>
        <v>37.1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38.6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37558</v>
      </c>
      <c r="AW9" s="69">
        <f t="shared" si="5"/>
        <v>-1.5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35.1</v>
      </c>
      <c r="L10" s="66">
        <v>35.9</v>
      </c>
      <c r="M10" s="66">
        <v>36.1</v>
      </c>
      <c r="N10" s="66">
        <v>32.299999999999997</v>
      </c>
      <c r="O10" s="66">
        <v>37.1</v>
      </c>
      <c r="P10" s="66">
        <v>33.4</v>
      </c>
      <c r="Q10" s="66">
        <v>33</v>
      </c>
      <c r="R10" s="66">
        <v>32.4</v>
      </c>
      <c r="S10" s="66">
        <v>34.299999999999997</v>
      </c>
      <c r="T10" s="66">
        <v>36.200000000000003</v>
      </c>
      <c r="U10" s="66">
        <v>34.5</v>
      </c>
      <c r="V10" s="66">
        <v>32.9</v>
      </c>
      <c r="W10" s="66">
        <v>29.7</v>
      </c>
      <c r="X10" s="66">
        <v>34.200000000000003</v>
      </c>
      <c r="Y10" s="66">
        <v>34.6</v>
      </c>
      <c r="Z10" s="66">
        <v>35.5</v>
      </c>
      <c r="AA10" s="66">
        <v>34.9</v>
      </c>
      <c r="AB10" s="66">
        <v>31.5</v>
      </c>
      <c r="AC10" s="66">
        <v>33.4</v>
      </c>
      <c r="AD10" s="66">
        <v>35.5</v>
      </c>
      <c r="AE10" s="66">
        <v>30</v>
      </c>
      <c r="AF10" s="66">
        <v>31.2</v>
      </c>
      <c r="AG10" s="66">
        <v>33.799999999999997</v>
      </c>
      <c r="AH10" s="66">
        <v>32.299999999999997</v>
      </c>
      <c r="AI10" s="66"/>
      <c r="AJ10" s="66"/>
      <c r="AK10" s="66"/>
      <c r="AL10" s="66"/>
      <c r="AM10" s="66"/>
      <c r="AN10" s="66"/>
      <c r="AO10" s="66"/>
      <c r="AP10" s="67">
        <f t="shared" si="1"/>
        <v>24</v>
      </c>
      <c r="AQ10" s="68">
        <f t="shared" si="2"/>
        <v>33.74166666666666</v>
      </c>
      <c r="AR10" s="68">
        <f>IFERROR(VLOOKUP(A10,Climatologia_TMAX!A:U,9+$E$2,FALSE),"")</f>
        <v>32.785964355708913</v>
      </c>
      <c r="AS10" s="68">
        <f t="shared" si="3"/>
        <v>0.95570231095774716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38.299999999999997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0" s="69">
        <f t="shared" si="5"/>
        <v>-1.1999999999999957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34.4</v>
      </c>
      <c r="L11" s="66">
        <v>35.5</v>
      </c>
      <c r="M11" s="66">
        <v>33.200000000000003</v>
      </c>
      <c r="N11" s="66">
        <v>34.200000000000003</v>
      </c>
      <c r="O11" s="66">
        <v>37.6</v>
      </c>
      <c r="P11" s="66">
        <v>34.4</v>
      </c>
      <c r="Q11" s="66">
        <v>35.299999999999997</v>
      </c>
      <c r="R11" s="66">
        <v>34.6</v>
      </c>
      <c r="S11" s="66">
        <v>35.9</v>
      </c>
      <c r="T11" s="66">
        <v>35.6</v>
      </c>
      <c r="U11" s="66">
        <v>35.6</v>
      </c>
      <c r="V11" s="66">
        <v>32.799999999999997</v>
      </c>
      <c r="W11" s="66">
        <v>32.799999999999997</v>
      </c>
      <c r="X11" s="66">
        <v>32.5</v>
      </c>
      <c r="Y11" s="66">
        <v>36</v>
      </c>
      <c r="Z11" s="66">
        <v>36.700000000000003</v>
      </c>
      <c r="AA11" s="66">
        <v>34.4</v>
      </c>
      <c r="AB11" s="66">
        <v>32.9</v>
      </c>
      <c r="AC11" s="66">
        <v>34.799999999999997</v>
      </c>
      <c r="AD11" s="66">
        <v>35.799999999999997</v>
      </c>
      <c r="AE11" s="66">
        <v>28.8</v>
      </c>
      <c r="AF11" s="66">
        <v>34</v>
      </c>
      <c r="AG11" s="66">
        <v>35.4</v>
      </c>
      <c r="AH11" s="66">
        <v>33.299999999999997</v>
      </c>
      <c r="AI11" s="66"/>
      <c r="AJ11" s="66"/>
      <c r="AK11" s="66"/>
      <c r="AL11" s="66"/>
      <c r="AM11" s="66"/>
      <c r="AN11" s="66"/>
      <c r="AO11" s="66"/>
      <c r="AP11" s="67">
        <f t="shared" si="1"/>
        <v>24</v>
      </c>
      <c r="AQ11" s="68">
        <f t="shared" si="2"/>
        <v>34.437499999999993</v>
      </c>
      <c r="AR11" s="68">
        <f>IFERROR(VLOOKUP(A11,Climatologia_TMAX!A:U,9+$E$2,FALSE),"")</f>
        <v>33.037447232178422</v>
      </c>
      <c r="AS11" s="68">
        <f t="shared" si="3"/>
        <v>1.4000527678215704</v>
      </c>
      <c r="AT11" s="111">
        <f t="shared" si="4"/>
        <v>37.6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39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42672</v>
      </c>
      <c r="AW11" s="69">
        <f t="shared" si="5"/>
        <v>-1.3999999999999986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34.799999999999997</v>
      </c>
      <c r="L12" s="66">
        <v>31.9</v>
      </c>
      <c r="M12" s="66">
        <v>26.3</v>
      </c>
      <c r="N12" s="66">
        <v>32.200000000000003</v>
      </c>
      <c r="O12" s="66">
        <v>35.200000000000003</v>
      </c>
      <c r="P12" s="66">
        <v>30.7</v>
      </c>
      <c r="Q12" s="66">
        <v>34.200000000000003</v>
      </c>
      <c r="R12" s="66">
        <v>32.1</v>
      </c>
      <c r="S12" s="66">
        <v>34.299999999999997</v>
      </c>
      <c r="T12" s="66">
        <v>34.6</v>
      </c>
      <c r="U12" s="113">
        <v>34.1</v>
      </c>
      <c r="V12" s="66">
        <v>32.700000000000003</v>
      </c>
      <c r="W12" s="66">
        <v>31</v>
      </c>
      <c r="X12" s="66">
        <v>34.200000000000003</v>
      </c>
      <c r="Y12" s="66">
        <v>35.299999999999997</v>
      </c>
      <c r="Z12" s="66">
        <v>35.1</v>
      </c>
      <c r="AA12" s="66">
        <v>29.7</v>
      </c>
      <c r="AB12" s="66">
        <v>31</v>
      </c>
      <c r="AC12" s="66">
        <v>33.9</v>
      </c>
      <c r="AD12" s="66">
        <v>30.5</v>
      </c>
      <c r="AE12" s="66">
        <v>30.3</v>
      </c>
      <c r="AF12" s="66">
        <v>33.6</v>
      </c>
      <c r="AG12" s="66">
        <v>33.9</v>
      </c>
      <c r="AH12" s="66">
        <v>25.5</v>
      </c>
      <c r="AI12" s="66"/>
      <c r="AJ12" s="66"/>
      <c r="AK12" s="66"/>
      <c r="AL12" s="66"/>
      <c r="AM12" s="66"/>
      <c r="AN12" s="66"/>
      <c r="AO12" s="66"/>
      <c r="AP12" s="67">
        <f t="shared" si="1"/>
        <v>24</v>
      </c>
      <c r="AQ12" s="68">
        <f t="shared" si="2"/>
        <v>32.37916666666667</v>
      </c>
      <c r="AR12" s="68">
        <f>IFERROR(VLOOKUP(A12,Climatologia_TMAX!A:U,9+$E$2,FALSE),"")</f>
        <v>32.443225831073327</v>
      </c>
      <c r="AS12" s="68">
        <f t="shared" si="3"/>
        <v>-6.4059164406657487E-2</v>
      </c>
      <c r="AT12" s="74">
        <f t="shared" si="4"/>
        <v>35.299999999999997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12" s="69">
        <f t="shared" si="5"/>
        <v>-1.2000000000000028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33.200000000000003</v>
      </c>
      <c r="L13" s="66">
        <v>31.2</v>
      </c>
      <c r="M13" s="66">
        <v>29.6</v>
      </c>
      <c r="N13" s="66">
        <v>34</v>
      </c>
      <c r="O13" s="66">
        <v>35.4</v>
      </c>
      <c r="P13" s="66">
        <v>32.6</v>
      </c>
      <c r="Q13" s="66">
        <v>33</v>
      </c>
      <c r="R13" s="66">
        <v>34.700000000000003</v>
      </c>
      <c r="S13" s="66">
        <v>31</v>
      </c>
      <c r="T13" s="66">
        <v>31.4</v>
      </c>
      <c r="U13" s="66">
        <v>34.6</v>
      </c>
      <c r="V13" s="66">
        <v>27.4</v>
      </c>
      <c r="W13" s="66">
        <v>27.2</v>
      </c>
      <c r="X13" s="66">
        <v>33.799999999999997</v>
      </c>
      <c r="Y13" s="66">
        <v>35.299999999999997</v>
      </c>
      <c r="Z13" s="66">
        <v>32</v>
      </c>
      <c r="AA13" s="66">
        <v>30.5</v>
      </c>
      <c r="AB13" s="66">
        <v>27.4</v>
      </c>
      <c r="AC13" s="66">
        <v>31.9</v>
      </c>
      <c r="AD13" s="66">
        <v>34.200000000000003</v>
      </c>
      <c r="AE13" s="66">
        <v>30</v>
      </c>
      <c r="AF13" s="66">
        <v>31.2</v>
      </c>
      <c r="AG13" s="66">
        <v>35.4</v>
      </c>
      <c r="AH13" s="66">
        <v>29.2</v>
      </c>
      <c r="AI13" s="66"/>
      <c r="AJ13" s="66"/>
      <c r="AK13" s="66"/>
      <c r="AL13" s="66"/>
      <c r="AM13" s="66"/>
      <c r="AN13" s="66"/>
      <c r="AO13" s="66"/>
      <c r="AP13" s="67">
        <f t="shared" si="1"/>
        <v>24</v>
      </c>
      <c r="AQ13" s="68">
        <f t="shared" si="2"/>
        <v>31.925000000000001</v>
      </c>
      <c r="AR13" s="68">
        <f>IFERROR(VLOOKUP(A13,Climatologia_TMAX!A:U,9+$E$2,FALSE),"")</f>
        <v>31.434330151415409</v>
      </c>
      <c r="AS13" s="68">
        <f t="shared" si="3"/>
        <v>0.49066984858459151</v>
      </c>
      <c r="AT13" s="74">
        <f t="shared" si="4"/>
        <v>35.4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35.799999999999997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3" s="69">
        <f t="shared" si="5"/>
        <v>-0.39999999999999858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</v>
      </c>
      <c r="L14" s="66">
        <v>28</v>
      </c>
      <c r="M14" s="66">
        <v>25</v>
      </c>
      <c r="N14" s="66">
        <v>30</v>
      </c>
      <c r="O14" s="66">
        <v>29.8</v>
      </c>
      <c r="P14" s="66">
        <v>26.8</v>
      </c>
      <c r="Q14" s="66">
        <v>28.4</v>
      </c>
      <c r="R14" s="66">
        <v>27.4</v>
      </c>
      <c r="S14" s="66">
        <v>27.6</v>
      </c>
      <c r="T14" s="66">
        <v>26.7</v>
      </c>
      <c r="U14" s="66">
        <v>29</v>
      </c>
      <c r="V14" s="66">
        <v>25.1</v>
      </c>
      <c r="W14" s="66">
        <v>23.9</v>
      </c>
      <c r="X14" s="66">
        <v>28.4</v>
      </c>
      <c r="Y14" s="66">
        <v>29.9</v>
      </c>
      <c r="Z14" s="66">
        <v>27.8</v>
      </c>
      <c r="AA14" s="66">
        <v>27.8</v>
      </c>
      <c r="AB14" s="66">
        <v>24.1</v>
      </c>
      <c r="AC14" s="66">
        <v>28.6</v>
      </c>
      <c r="AD14" s="66">
        <v>29.1</v>
      </c>
      <c r="AE14" s="66">
        <v>25.6</v>
      </c>
      <c r="AF14" s="66">
        <v>28.6</v>
      </c>
      <c r="AG14" s="66">
        <v>30.2</v>
      </c>
      <c r="AH14" s="66">
        <v>27.4</v>
      </c>
      <c r="AI14" s="66"/>
      <c r="AJ14" s="66"/>
      <c r="AK14" s="66"/>
      <c r="AL14" s="66"/>
      <c r="AM14" s="66"/>
      <c r="AN14" s="66"/>
      <c r="AO14" s="66"/>
      <c r="AP14" s="67">
        <f t="shared" si="1"/>
        <v>24</v>
      </c>
      <c r="AQ14" s="68">
        <f t="shared" si="2"/>
        <v>27.63333333333334</v>
      </c>
      <c r="AR14" s="68">
        <f>IFERROR(VLOOKUP(A14,Climatologia_TMAX!A:U,9+$E$2,FALSE),"")</f>
        <v>25.64850703060381</v>
      </c>
      <c r="AS14" s="68">
        <f t="shared" si="3"/>
        <v>1.9848263027295303</v>
      </c>
      <c r="AT14" s="74">
        <f t="shared" si="4"/>
        <v>30.2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32.4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31716</v>
      </c>
      <c r="AW14" s="69">
        <f t="shared" si="5"/>
        <v>-2.1999999999999993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35.700000000000003</v>
      </c>
      <c r="L15" s="66">
        <v>36.200000000000003</v>
      </c>
      <c r="M15" s="66">
        <v>36.4</v>
      </c>
      <c r="N15" s="66">
        <v>35</v>
      </c>
      <c r="O15" s="66">
        <v>36.1</v>
      </c>
      <c r="P15" s="66">
        <v>36.299999999999997</v>
      </c>
      <c r="Q15" s="115">
        <v>31.8</v>
      </c>
      <c r="R15" s="66">
        <v>36.9</v>
      </c>
      <c r="S15" s="66">
        <v>36.4</v>
      </c>
      <c r="T15" s="66">
        <v>33.5</v>
      </c>
      <c r="U15" s="66">
        <v>35.1</v>
      </c>
      <c r="V15" s="66">
        <v>32.4</v>
      </c>
      <c r="W15" s="66">
        <v>29.9</v>
      </c>
      <c r="X15" s="66">
        <v>34.200000000000003</v>
      </c>
      <c r="Y15" s="66">
        <v>36</v>
      </c>
      <c r="Z15" s="66">
        <v>37</v>
      </c>
      <c r="AA15" s="66">
        <v>37</v>
      </c>
      <c r="AB15" s="66">
        <v>35.4</v>
      </c>
      <c r="AC15" s="66">
        <v>38.1</v>
      </c>
      <c r="AD15" s="66">
        <v>37.5</v>
      </c>
      <c r="AE15" s="66">
        <v>33.6</v>
      </c>
      <c r="AF15" s="66">
        <v>37</v>
      </c>
      <c r="AG15" s="66">
        <v>37.700000000000003</v>
      </c>
      <c r="AH15" s="66">
        <v>33.4</v>
      </c>
      <c r="AI15" s="66"/>
      <c r="AJ15" s="66"/>
      <c r="AK15" s="66"/>
      <c r="AL15" s="66"/>
      <c r="AM15" s="66"/>
      <c r="AN15" s="66"/>
      <c r="AO15" s="66"/>
      <c r="AP15" s="67">
        <f t="shared" si="1"/>
        <v>24</v>
      </c>
      <c r="AQ15" s="68">
        <f t="shared" si="2"/>
        <v>35.358333333333327</v>
      </c>
      <c r="AR15" s="68">
        <f>IFERROR(VLOOKUP(A15,Climatologia_TMAX!A:U,9+$E$2,FALSE),"")</f>
        <v>33.015015853322303</v>
      </c>
      <c r="AS15" s="68">
        <f t="shared" si="3"/>
        <v>2.3433174800110237</v>
      </c>
      <c r="AT15" s="74">
        <f t="shared" si="4"/>
        <v>38.1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38.200000000000003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35709</v>
      </c>
      <c r="AW15" s="69">
        <f t="shared" si="5"/>
        <v>-0.10000000000000142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33.799999999999997</v>
      </c>
      <c r="L16" s="66">
        <v>31.9</v>
      </c>
      <c r="M16" s="66">
        <v>24.4</v>
      </c>
      <c r="N16" s="66">
        <v>32.1</v>
      </c>
      <c r="O16" s="66">
        <v>33.6</v>
      </c>
      <c r="P16" s="66">
        <v>31.1</v>
      </c>
      <c r="Q16" s="66">
        <v>32.9</v>
      </c>
      <c r="R16" s="66">
        <v>34.200000000000003</v>
      </c>
      <c r="S16" s="66">
        <v>33.799999999999997</v>
      </c>
      <c r="T16" s="66">
        <v>31.6</v>
      </c>
      <c r="U16" s="66">
        <v>32.6</v>
      </c>
      <c r="V16" s="66">
        <v>29.3</v>
      </c>
      <c r="W16" s="66">
        <v>26.8</v>
      </c>
      <c r="X16" s="66">
        <v>34.200000000000003</v>
      </c>
      <c r="Y16" s="66">
        <v>33.200000000000003</v>
      </c>
      <c r="Z16" s="66">
        <v>31.7</v>
      </c>
      <c r="AA16" s="66">
        <v>32</v>
      </c>
      <c r="AB16" s="66">
        <v>33.4</v>
      </c>
      <c r="AC16" s="66">
        <v>32.6</v>
      </c>
      <c r="AD16" s="66">
        <v>31.8</v>
      </c>
      <c r="AE16" s="66">
        <v>27.3</v>
      </c>
      <c r="AF16" s="66">
        <v>33.1</v>
      </c>
      <c r="AG16" s="66">
        <v>31.5</v>
      </c>
      <c r="AH16" s="66">
        <v>29.4</v>
      </c>
      <c r="AI16" s="66"/>
      <c r="AJ16" s="66"/>
      <c r="AK16" s="66"/>
      <c r="AL16" s="66"/>
      <c r="AM16" s="66"/>
      <c r="AN16" s="66"/>
      <c r="AO16" s="66"/>
      <c r="AP16" s="67">
        <f t="shared" si="1"/>
        <v>24</v>
      </c>
      <c r="AQ16" s="68">
        <f t="shared" si="2"/>
        <v>31.595833333333331</v>
      </c>
      <c r="AR16" s="68">
        <f>IFERROR(VLOOKUP(A16,Climatologia_TMAX!A:U,9+$E$2,FALSE),"")</f>
        <v>31.744999041080131</v>
      </c>
      <c r="AS16" s="68">
        <f t="shared" si="3"/>
        <v>-0.14916570774679982</v>
      </c>
      <c r="AT16" s="74">
        <f t="shared" si="4"/>
        <v>34.200000000000003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6" s="69">
        <f t="shared" si="5"/>
        <v>-1.1999999999999957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30.1</v>
      </c>
      <c r="L17" s="66">
        <v>28</v>
      </c>
      <c r="M17" s="66">
        <v>26</v>
      </c>
      <c r="N17" s="66">
        <v>29.6</v>
      </c>
      <c r="O17" s="66">
        <v>32.5</v>
      </c>
      <c r="P17" s="66">
        <v>25.8</v>
      </c>
      <c r="Q17" s="66">
        <v>31</v>
      </c>
      <c r="R17" s="66">
        <v>29.5</v>
      </c>
      <c r="S17" s="66">
        <v>31.7</v>
      </c>
      <c r="T17" s="66">
        <v>26.1</v>
      </c>
      <c r="U17" s="66">
        <v>28.8</v>
      </c>
      <c r="V17" s="66">
        <v>22.6</v>
      </c>
      <c r="W17" s="66">
        <v>23.4</v>
      </c>
      <c r="X17" s="66">
        <v>30.4</v>
      </c>
      <c r="Y17" s="66">
        <v>32.9</v>
      </c>
      <c r="Z17" s="66">
        <v>25.5</v>
      </c>
      <c r="AA17" s="66">
        <v>30</v>
      </c>
      <c r="AB17" s="66">
        <v>28.7</v>
      </c>
      <c r="AC17" s="66">
        <v>25.1</v>
      </c>
      <c r="AD17" s="66">
        <v>29.2</v>
      </c>
      <c r="AE17" s="66">
        <v>23.9</v>
      </c>
      <c r="AF17" s="66">
        <v>31.4</v>
      </c>
      <c r="AG17" s="66">
        <v>30.8</v>
      </c>
      <c r="AH17" s="66">
        <v>28.1</v>
      </c>
      <c r="AI17" s="66"/>
      <c r="AJ17" s="66"/>
      <c r="AK17" s="66"/>
      <c r="AL17" s="66"/>
      <c r="AM17" s="66"/>
      <c r="AN17" s="66"/>
      <c r="AO17" s="66"/>
      <c r="AP17" s="67">
        <f t="shared" si="1"/>
        <v>24</v>
      </c>
      <c r="AQ17" s="68">
        <f t="shared" si="2"/>
        <v>28.379166666666666</v>
      </c>
      <c r="AR17" s="68">
        <f>IFERROR(VLOOKUP(A17,Climatologia_TMAX!A:U,9+$E$2,FALSE),"")</f>
        <v>27.292235561863119</v>
      </c>
      <c r="AS17" s="68">
        <f t="shared" si="3"/>
        <v>1.086931104803547</v>
      </c>
      <c r="AT17" s="74">
        <f t="shared" si="4"/>
        <v>32.9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31.9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17" s="69">
        <f t="shared" si="5"/>
        <v>1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24.8</v>
      </c>
      <c r="L18" s="66">
        <v>23.3</v>
      </c>
      <c r="M18" s="66">
        <v>22</v>
      </c>
      <c r="N18" s="66">
        <v>25</v>
      </c>
      <c r="O18" s="66">
        <v>26</v>
      </c>
      <c r="P18" s="66">
        <v>23.3</v>
      </c>
      <c r="Q18" s="66">
        <v>23.6</v>
      </c>
      <c r="R18" s="66">
        <v>23.3</v>
      </c>
      <c r="S18" s="66">
        <v>25.6</v>
      </c>
      <c r="T18" s="66">
        <v>22.7</v>
      </c>
      <c r="U18" s="66">
        <v>23.6</v>
      </c>
      <c r="V18" s="66">
        <v>18.600000000000001</v>
      </c>
      <c r="W18" s="66">
        <v>19</v>
      </c>
      <c r="X18" s="66">
        <v>24.5</v>
      </c>
      <c r="Y18" s="66">
        <v>26.6</v>
      </c>
      <c r="Z18" s="66">
        <v>21.7</v>
      </c>
      <c r="AA18" s="66">
        <v>23.8</v>
      </c>
      <c r="AB18" s="66">
        <v>22.2</v>
      </c>
      <c r="AC18" s="66">
        <v>20.6</v>
      </c>
      <c r="AD18" s="66">
        <v>22.5</v>
      </c>
      <c r="AE18" s="66">
        <v>20.2</v>
      </c>
      <c r="AF18" s="66">
        <v>25.2</v>
      </c>
      <c r="AG18" s="66">
        <v>24.6</v>
      </c>
      <c r="AH18" s="66">
        <v>23.4</v>
      </c>
      <c r="AI18" s="66"/>
      <c r="AJ18" s="66"/>
      <c r="AK18" s="66"/>
      <c r="AL18" s="66"/>
      <c r="AM18" s="66"/>
      <c r="AN18" s="66"/>
      <c r="AO18" s="66"/>
      <c r="AP18" s="67">
        <f t="shared" si="1"/>
        <v>24</v>
      </c>
      <c r="AQ18" s="68">
        <f t="shared" si="2"/>
        <v>23.170833333333334</v>
      </c>
      <c r="AR18" s="68">
        <f>IFERROR(VLOOKUP(A18,Climatologia_TMAX!A:U,9+$E$2,FALSE),"")</f>
        <v>21.943225806451611</v>
      </c>
      <c r="AS18" s="68">
        <f t="shared" si="3"/>
        <v>1.227607526881723</v>
      </c>
      <c r="AT18" s="74">
        <f t="shared" si="4"/>
        <v>26.6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25.6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8" s="69">
        <f t="shared" si="5"/>
        <v>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28.5</v>
      </c>
      <c r="L19" s="66">
        <v>27.2</v>
      </c>
      <c r="M19" s="66">
        <v>25.8</v>
      </c>
      <c r="N19" s="66">
        <v>30</v>
      </c>
      <c r="O19" s="66">
        <v>29.9</v>
      </c>
      <c r="P19" s="66">
        <v>26.7</v>
      </c>
      <c r="Q19" s="66">
        <v>28.5</v>
      </c>
      <c r="R19" s="66">
        <v>29</v>
      </c>
      <c r="S19" s="66">
        <v>30.1</v>
      </c>
      <c r="T19" s="66">
        <v>25.8</v>
      </c>
      <c r="U19" s="113">
        <v>27.9</v>
      </c>
      <c r="V19" s="66">
        <v>24.8</v>
      </c>
      <c r="W19" s="66">
        <v>25.2</v>
      </c>
      <c r="X19" s="66">
        <v>28.4</v>
      </c>
      <c r="Y19" s="66">
        <v>30.4</v>
      </c>
      <c r="Z19" s="66">
        <v>24.7</v>
      </c>
      <c r="AA19" s="66">
        <v>27.6</v>
      </c>
      <c r="AB19" s="66">
        <v>28.6</v>
      </c>
      <c r="AC19" s="66">
        <v>24.8</v>
      </c>
      <c r="AD19" s="66">
        <v>29.2</v>
      </c>
      <c r="AE19" s="66">
        <v>24</v>
      </c>
      <c r="AF19" s="66">
        <v>29.4</v>
      </c>
      <c r="AG19" s="66">
        <v>30.6</v>
      </c>
      <c r="AH19" s="66">
        <v>29.4</v>
      </c>
      <c r="AI19" s="66"/>
      <c r="AJ19" s="66"/>
      <c r="AK19" s="66"/>
      <c r="AL19" s="66"/>
      <c r="AM19" s="66"/>
      <c r="AN19" s="66"/>
      <c r="AO19" s="66"/>
      <c r="AP19" s="67">
        <f t="shared" si="1"/>
        <v>24</v>
      </c>
      <c r="AQ19" s="68">
        <f t="shared" si="2"/>
        <v>27.770833333333332</v>
      </c>
      <c r="AR19" s="68">
        <f>IFERROR(VLOOKUP(A19,Climatologia_TMAX!A:U,9+$E$2,FALSE),"")</f>
        <v>26.187468982630271</v>
      </c>
      <c r="AS19" s="68">
        <f t="shared" si="3"/>
        <v>1.5833643507030608</v>
      </c>
      <c r="AT19" s="74">
        <f t="shared" si="4"/>
        <v>30.6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31.3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29.1</v>
      </c>
      <c r="L20" s="66">
        <v>28</v>
      </c>
      <c r="M20" s="66">
        <v>27.6</v>
      </c>
      <c r="N20" s="66">
        <v>30.1</v>
      </c>
      <c r="O20" s="66">
        <v>29.7</v>
      </c>
      <c r="P20" s="66">
        <v>27.1</v>
      </c>
      <c r="Q20" s="66">
        <v>29.6</v>
      </c>
      <c r="R20" s="66">
        <v>28.1</v>
      </c>
      <c r="S20" s="66">
        <v>30.1</v>
      </c>
      <c r="T20" s="66">
        <v>26.9</v>
      </c>
      <c r="U20" s="66">
        <v>27.8</v>
      </c>
      <c r="V20" s="66">
        <v>24.7</v>
      </c>
      <c r="W20" s="66">
        <v>25.8</v>
      </c>
      <c r="X20" s="66">
        <v>28</v>
      </c>
      <c r="Y20" s="66">
        <v>31.5</v>
      </c>
      <c r="Z20" s="66">
        <v>28.1</v>
      </c>
      <c r="AA20" s="66">
        <v>28.1</v>
      </c>
      <c r="AB20" s="66">
        <v>29.3</v>
      </c>
      <c r="AC20" s="66">
        <v>25.9</v>
      </c>
      <c r="AD20" s="66">
        <v>29.9</v>
      </c>
      <c r="AE20" s="66">
        <v>24.7</v>
      </c>
      <c r="AF20" s="66">
        <v>29.1</v>
      </c>
      <c r="AG20" s="66">
        <v>30.1</v>
      </c>
      <c r="AH20" s="66">
        <v>28.9</v>
      </c>
      <c r="AI20" s="66"/>
      <c r="AJ20" s="66"/>
      <c r="AK20" s="66"/>
      <c r="AL20" s="66"/>
      <c r="AM20" s="66"/>
      <c r="AN20" s="66"/>
      <c r="AO20" s="66"/>
      <c r="AP20" s="67">
        <f t="shared" si="1"/>
        <v>24</v>
      </c>
      <c r="AQ20" s="68">
        <f t="shared" si="2"/>
        <v>28.258333333333336</v>
      </c>
      <c r="AR20" s="68">
        <f>IFERROR(VLOOKUP(A20,Climatologia_TMAX!A:U,9+$E$2,FALSE),"")</f>
        <v>27.362560803891451</v>
      </c>
      <c r="AS20" s="68">
        <f t="shared" si="3"/>
        <v>0.89577252944188501</v>
      </c>
      <c r="AT20" s="74">
        <f t="shared" si="4"/>
        <v>31.5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32.799999999999997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0" s="69">
        <f t="shared" si="5"/>
        <v>-1.2999999999999972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29</v>
      </c>
      <c r="L21" s="66">
        <v>30.3</v>
      </c>
      <c r="M21" s="66">
        <v>29</v>
      </c>
      <c r="N21" s="66">
        <v>30.2</v>
      </c>
      <c r="O21" s="66">
        <v>31.8</v>
      </c>
      <c r="P21" s="66">
        <v>30.7</v>
      </c>
      <c r="Q21" s="66">
        <v>29.9</v>
      </c>
      <c r="R21" s="66">
        <v>30</v>
      </c>
      <c r="S21" s="66">
        <v>29.8</v>
      </c>
      <c r="T21" s="66">
        <v>27.8</v>
      </c>
      <c r="U21" s="66">
        <v>30.7</v>
      </c>
      <c r="V21" s="66">
        <v>26</v>
      </c>
      <c r="W21" s="66">
        <v>27</v>
      </c>
      <c r="X21" s="66">
        <v>30.4</v>
      </c>
      <c r="Y21" s="66">
        <v>32.799999999999997</v>
      </c>
      <c r="Z21" s="66">
        <v>30.3</v>
      </c>
      <c r="AA21" s="66">
        <v>32</v>
      </c>
      <c r="AB21" s="66">
        <v>28.4</v>
      </c>
      <c r="AC21" s="66">
        <v>30</v>
      </c>
      <c r="AD21" s="66">
        <v>32</v>
      </c>
      <c r="AE21" s="66">
        <v>28.9</v>
      </c>
      <c r="AF21" s="66">
        <v>31.4</v>
      </c>
      <c r="AG21" s="66">
        <v>33.700000000000003</v>
      </c>
      <c r="AH21" s="66">
        <v>32</v>
      </c>
      <c r="AI21" s="66"/>
      <c r="AJ21" s="66"/>
      <c r="AK21" s="66"/>
      <c r="AL21" s="66"/>
      <c r="AM21" s="66"/>
      <c r="AN21" s="66"/>
      <c r="AO21" s="66"/>
      <c r="AP21" s="67">
        <f t="shared" si="1"/>
        <v>24</v>
      </c>
      <c r="AQ21" s="68">
        <f t="shared" si="2"/>
        <v>30.170833333333334</v>
      </c>
      <c r="AR21" s="68">
        <f>IFERROR(VLOOKUP(A21,Climatologia_TMAX!A:U,9+$E$2,FALSE),"")</f>
        <v>28.863902868824429</v>
      </c>
      <c r="AS21" s="68">
        <f t="shared" si="3"/>
        <v>1.3069304645089055</v>
      </c>
      <c r="AT21" s="74">
        <f t="shared" si="4"/>
        <v>33.700000000000003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36.5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1" s="69">
        <f t="shared" si="5"/>
        <v>-2.7999999999999972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22.3</v>
      </c>
      <c r="L22" s="66">
        <v>20.2</v>
      </c>
      <c r="M22" s="66">
        <v>19.7</v>
      </c>
      <c r="N22" s="66">
        <v>21.9</v>
      </c>
      <c r="O22" s="66">
        <v>24.4</v>
      </c>
      <c r="P22" s="66">
        <v>21.4</v>
      </c>
      <c r="Q22" s="66">
        <v>21</v>
      </c>
      <c r="R22" s="66">
        <v>21.4</v>
      </c>
      <c r="S22" s="66">
        <v>21.4</v>
      </c>
      <c r="T22" s="66">
        <v>18.899999999999999</v>
      </c>
      <c r="U22" s="66">
        <v>20.3</v>
      </c>
      <c r="V22" s="66">
        <v>18</v>
      </c>
      <c r="W22" s="66">
        <v>19.5</v>
      </c>
      <c r="X22" s="66">
        <v>22.4</v>
      </c>
      <c r="Y22" s="66">
        <v>23.9</v>
      </c>
      <c r="Z22" s="66">
        <v>21.6</v>
      </c>
      <c r="AA22" s="66">
        <v>21.8</v>
      </c>
      <c r="AB22" s="66">
        <v>20.100000000000001</v>
      </c>
      <c r="AC22" s="66">
        <v>22.6</v>
      </c>
      <c r="AD22" s="66">
        <v>22.3</v>
      </c>
      <c r="AE22" s="66">
        <v>19.8</v>
      </c>
      <c r="AF22" s="66">
        <v>23</v>
      </c>
      <c r="AG22" s="66">
        <v>22.7</v>
      </c>
      <c r="AH22" s="66">
        <v>19.8</v>
      </c>
      <c r="AI22" s="66"/>
      <c r="AJ22" s="66"/>
      <c r="AK22" s="66"/>
      <c r="AL22" s="66"/>
      <c r="AM22" s="66"/>
      <c r="AN22" s="66"/>
      <c r="AO22" s="66"/>
      <c r="AP22" s="67">
        <f t="shared" si="1"/>
        <v>24</v>
      </c>
      <c r="AQ22" s="68">
        <f t="shared" si="2"/>
        <v>21.266666666666669</v>
      </c>
      <c r="AR22" s="68">
        <f>IFERROR(VLOOKUP(A22,Climatologia_TMAX!A:U,9+$E$2,FALSE),"")</f>
        <v>19.420634169110251</v>
      </c>
      <c r="AS22" s="68">
        <f t="shared" si="3"/>
        <v>1.8460324975564184</v>
      </c>
      <c r="AT22" s="74">
        <f t="shared" si="4"/>
        <v>24.4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34624</v>
      </c>
      <c r="AW22" s="69">
        <f t="shared" si="5"/>
        <v>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30.8</v>
      </c>
      <c r="L23" s="66">
        <v>30.2</v>
      </c>
      <c r="M23" s="66">
        <v>30.9</v>
      </c>
      <c r="N23" s="66">
        <v>33.4</v>
      </c>
      <c r="O23" s="66">
        <v>32.799999999999997</v>
      </c>
      <c r="P23" s="66">
        <v>31.4</v>
      </c>
      <c r="Q23" s="66">
        <v>31.7</v>
      </c>
      <c r="R23" s="66">
        <v>30.7</v>
      </c>
      <c r="S23" s="66">
        <v>31.7</v>
      </c>
      <c r="T23" s="66">
        <v>28.1</v>
      </c>
      <c r="U23" s="66">
        <v>30.1</v>
      </c>
      <c r="V23" s="66">
        <v>27.3</v>
      </c>
      <c r="W23" s="66">
        <v>27.7</v>
      </c>
      <c r="X23" s="66">
        <v>31.3</v>
      </c>
      <c r="Y23" s="66">
        <v>34</v>
      </c>
      <c r="Z23" s="66">
        <v>29.9</v>
      </c>
      <c r="AA23" s="66">
        <v>30.8</v>
      </c>
      <c r="AB23" s="66">
        <v>31.2</v>
      </c>
      <c r="AC23" s="66">
        <v>26.9</v>
      </c>
      <c r="AD23" s="66">
        <v>31.3</v>
      </c>
      <c r="AE23" s="66">
        <v>27.6</v>
      </c>
      <c r="AF23" s="66">
        <v>30.2</v>
      </c>
      <c r="AG23" s="66">
        <v>32.299999999999997</v>
      </c>
      <c r="AH23" s="66">
        <v>32.200000000000003</v>
      </c>
      <c r="AI23" s="66"/>
      <c r="AJ23" s="66"/>
      <c r="AK23" s="66"/>
      <c r="AL23" s="66"/>
      <c r="AM23" s="66"/>
      <c r="AN23" s="66"/>
      <c r="AO23" s="66"/>
      <c r="AP23" s="67">
        <f t="shared" si="1"/>
        <v>24</v>
      </c>
      <c r="AQ23" s="68">
        <f t="shared" si="2"/>
        <v>30.604166666666671</v>
      </c>
      <c r="AR23" s="68">
        <f>IFERROR(VLOOKUP(A23,Climatologia_TMAX!A:U,9+$E$2,FALSE),"")</f>
        <v>29.62065677977936</v>
      </c>
      <c r="AS23" s="68">
        <f t="shared" si="3"/>
        <v>0.98350988688731178</v>
      </c>
      <c r="AT23" s="74">
        <f t="shared" si="4"/>
        <v>34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33.200000000000003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43400</v>
      </c>
      <c r="AW23" s="69">
        <f t="shared" si="5"/>
        <v>0.79999999999999716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36.700000000000003</v>
      </c>
      <c r="L24" s="66">
        <v>34</v>
      </c>
      <c r="M24" s="66">
        <v>34.200000000000003</v>
      </c>
      <c r="N24" s="66">
        <v>36</v>
      </c>
      <c r="O24" s="66">
        <v>38.4</v>
      </c>
      <c r="P24" s="66">
        <v>37.700000000000003</v>
      </c>
      <c r="Q24" s="66">
        <v>34.200000000000003</v>
      </c>
      <c r="R24" s="66">
        <v>34.200000000000003</v>
      </c>
      <c r="S24" s="66">
        <v>37.6</v>
      </c>
      <c r="T24" s="66">
        <v>32.5</v>
      </c>
      <c r="U24" s="66">
        <v>36.200000000000003</v>
      </c>
      <c r="V24" s="66">
        <v>34.799999999999997</v>
      </c>
      <c r="W24" s="66">
        <v>33.5</v>
      </c>
      <c r="X24" s="66">
        <v>35.799999999999997</v>
      </c>
      <c r="Y24" s="66">
        <v>38.6</v>
      </c>
      <c r="Z24" s="66">
        <v>36.4</v>
      </c>
      <c r="AA24" s="66">
        <v>35.700000000000003</v>
      </c>
      <c r="AB24" s="66">
        <v>37.200000000000003</v>
      </c>
      <c r="AC24" s="66">
        <v>36.299999999999997</v>
      </c>
      <c r="AD24" s="66">
        <v>38.5</v>
      </c>
      <c r="AE24" s="66">
        <v>33.700000000000003</v>
      </c>
      <c r="AF24" s="66">
        <v>37.299999999999997</v>
      </c>
      <c r="AG24" s="66">
        <v>38.200000000000003</v>
      </c>
      <c r="AH24" s="66">
        <v>35.4</v>
      </c>
      <c r="AI24" s="66"/>
      <c r="AJ24" s="66"/>
      <c r="AK24" s="66"/>
      <c r="AL24" s="66"/>
      <c r="AM24" s="66"/>
      <c r="AN24" s="66"/>
      <c r="AO24" s="66"/>
      <c r="AP24" s="67">
        <f t="shared" si="1"/>
        <v>24</v>
      </c>
      <c r="AQ24" s="68">
        <f t="shared" si="2"/>
        <v>35.962499999999999</v>
      </c>
      <c r="AR24" s="68">
        <f>IFERROR(VLOOKUP(A24,Climatologia_TMAX!A:U,9+$E$2,FALSE),"")</f>
        <v>33.398279569892473</v>
      </c>
      <c r="AS24" s="68">
        <f t="shared" si="3"/>
        <v>2.5642204301075253</v>
      </c>
      <c r="AT24" s="74">
        <f t="shared" si="4"/>
        <v>38.6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26.2</v>
      </c>
      <c r="L25" s="66">
        <v>21.4</v>
      </c>
      <c r="M25" s="66">
        <v>25.2</v>
      </c>
      <c r="N25" s="66">
        <v>27.6</v>
      </c>
      <c r="O25" s="66">
        <v>27</v>
      </c>
      <c r="P25" s="66">
        <v>25.8</v>
      </c>
      <c r="Q25" s="66">
        <v>26.2</v>
      </c>
      <c r="R25" s="66">
        <v>25.6</v>
      </c>
      <c r="S25" s="66">
        <v>28.6</v>
      </c>
      <c r="T25" s="66">
        <v>26.5</v>
      </c>
      <c r="U25" s="66">
        <v>25.2</v>
      </c>
      <c r="V25" s="66">
        <v>22.6</v>
      </c>
      <c r="W25" s="66">
        <v>23.2</v>
      </c>
      <c r="X25" s="66">
        <v>26.4</v>
      </c>
      <c r="Y25" s="66">
        <v>30</v>
      </c>
      <c r="Z25" s="66">
        <v>23.4</v>
      </c>
      <c r="AA25" s="66">
        <v>26.2</v>
      </c>
      <c r="AB25" s="66">
        <v>28.4</v>
      </c>
      <c r="AC25" s="66">
        <v>26.4</v>
      </c>
      <c r="AD25" s="66">
        <v>27.4</v>
      </c>
      <c r="AE25" s="66">
        <v>22.3</v>
      </c>
      <c r="AF25" s="66">
        <v>28.4</v>
      </c>
      <c r="AG25" s="66">
        <v>25.8</v>
      </c>
      <c r="AH25" s="66">
        <v>27</v>
      </c>
      <c r="AI25" s="66"/>
      <c r="AJ25" s="66"/>
      <c r="AK25" s="66"/>
      <c r="AL25" s="66"/>
      <c r="AM25" s="66"/>
      <c r="AN25" s="66"/>
      <c r="AO25" s="66"/>
      <c r="AP25" s="67">
        <f t="shared" si="1"/>
        <v>24</v>
      </c>
      <c r="AQ25" s="68">
        <f t="shared" si="2"/>
        <v>25.949999999999992</v>
      </c>
      <c r="AR25" s="68">
        <f>IFERROR(VLOOKUP(A25,Climatologia_TMAX!A:U,9+$E$2,FALSE),"")</f>
        <v>24.31999307872945</v>
      </c>
      <c r="AS25" s="68">
        <f t="shared" si="3"/>
        <v>1.6300069212705424</v>
      </c>
      <c r="AT25" s="74">
        <f t="shared" si="4"/>
        <v>30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41185</v>
      </c>
      <c r="AW25" s="69">
        <f t="shared" si="5"/>
        <v>-1.3000000000000007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15.4</v>
      </c>
      <c r="L26" s="66">
        <v>14.6</v>
      </c>
      <c r="M26" s="66">
        <v>16</v>
      </c>
      <c r="N26" s="66">
        <v>18.8</v>
      </c>
      <c r="O26" s="66">
        <v>21.2</v>
      </c>
      <c r="P26" s="66">
        <v>22</v>
      </c>
      <c r="Q26" s="66">
        <v>20.399999999999999</v>
      </c>
      <c r="R26" s="66">
        <v>17.8</v>
      </c>
      <c r="S26" s="66">
        <v>18.8</v>
      </c>
      <c r="T26" s="66">
        <v>19.2</v>
      </c>
      <c r="U26" s="66">
        <v>17</v>
      </c>
      <c r="V26" s="66">
        <v>17.600000000000001</v>
      </c>
      <c r="W26" s="66">
        <v>18</v>
      </c>
      <c r="X26" s="66">
        <v>18.399999999999999</v>
      </c>
      <c r="Y26" s="66">
        <v>18.2</v>
      </c>
      <c r="Z26" s="66">
        <v>16.600000000000001</v>
      </c>
      <c r="AA26" s="66">
        <v>16.399999999999999</v>
      </c>
      <c r="AB26" s="66">
        <v>19.2</v>
      </c>
      <c r="AC26" s="66">
        <v>20.399999999999999</v>
      </c>
      <c r="AD26" s="66">
        <v>17.399999999999999</v>
      </c>
      <c r="AE26" s="66">
        <v>20</v>
      </c>
      <c r="AF26" s="66">
        <v>19.399999999999999</v>
      </c>
      <c r="AG26" s="66">
        <v>18.8</v>
      </c>
      <c r="AH26" s="66">
        <v>19.399999999999999</v>
      </c>
      <c r="AI26" s="66"/>
      <c r="AJ26" s="66"/>
      <c r="AK26" s="66"/>
      <c r="AL26" s="66"/>
      <c r="AM26" s="66"/>
      <c r="AN26" s="66"/>
      <c r="AO26" s="66"/>
      <c r="AP26" s="67">
        <f t="shared" si="1"/>
        <v>24</v>
      </c>
      <c r="AQ26" s="68">
        <f t="shared" si="2"/>
        <v>18.374999999999996</v>
      </c>
      <c r="AR26" s="68">
        <f>IFERROR(VLOOKUP(A26,Climatologia_TMAX!A:U,9+$E$2,FALSE),"")</f>
        <v>16.895577461547319</v>
      </c>
      <c r="AS26" s="68">
        <f t="shared" si="3"/>
        <v>1.4794225384526776</v>
      </c>
      <c r="AT26" s="74">
        <f t="shared" si="4"/>
        <v>22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21.4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37183</v>
      </c>
      <c r="AW26" s="69">
        <f t="shared" si="5"/>
        <v>0.60000000000000142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34.299999999999997</v>
      </c>
      <c r="L27" s="66">
        <v>31</v>
      </c>
      <c r="M27" s="66">
        <v>28.8</v>
      </c>
      <c r="N27" s="66">
        <v>34.5</v>
      </c>
      <c r="O27" s="66">
        <v>33.6</v>
      </c>
      <c r="P27" s="66">
        <v>28.2</v>
      </c>
      <c r="Q27" s="66">
        <v>33.4</v>
      </c>
      <c r="R27" s="66">
        <v>31.6</v>
      </c>
      <c r="S27" s="66">
        <v>35</v>
      </c>
      <c r="T27" s="66">
        <v>29.6</v>
      </c>
      <c r="U27" s="113">
        <v>30.2</v>
      </c>
      <c r="V27" s="66">
        <v>28.2</v>
      </c>
      <c r="W27" s="66">
        <v>27.6</v>
      </c>
      <c r="X27" s="66">
        <v>33.799999999999997</v>
      </c>
      <c r="Y27" s="66">
        <v>34.799999999999997</v>
      </c>
      <c r="Z27" s="66">
        <v>25.8</v>
      </c>
      <c r="AA27" s="66">
        <v>32.799999999999997</v>
      </c>
      <c r="AB27" s="66">
        <v>32.6</v>
      </c>
      <c r="AC27" s="66">
        <v>25.6</v>
      </c>
      <c r="AD27" s="66">
        <v>32.6</v>
      </c>
      <c r="AE27" s="66">
        <v>26</v>
      </c>
      <c r="AF27" s="66">
        <v>33.6</v>
      </c>
      <c r="AG27" s="66">
        <v>31.6</v>
      </c>
      <c r="AH27" s="66">
        <v>31.2</v>
      </c>
      <c r="AI27" s="66"/>
      <c r="AJ27" s="66"/>
      <c r="AK27" s="66"/>
      <c r="AL27" s="66"/>
      <c r="AM27" s="66"/>
      <c r="AN27" s="66"/>
      <c r="AO27" s="66"/>
      <c r="AP27" s="67">
        <f t="shared" si="1"/>
        <v>24</v>
      </c>
      <c r="AQ27" s="68">
        <f t="shared" si="2"/>
        <v>31.100000000000009</v>
      </c>
      <c r="AR27" s="68">
        <f>IFERROR(VLOOKUP(A27,Climatologia_TMAX!A:U,9+$E$2,FALSE),"")</f>
        <v>30.554368199659901</v>
      </c>
      <c r="AS27" s="68">
        <f t="shared" si="3"/>
        <v>0.54563180034010728</v>
      </c>
      <c r="AT27" s="74">
        <f t="shared" si="4"/>
        <v>35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34.200000000000003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38630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31.2</v>
      </c>
      <c r="L28" s="66">
        <v>29.3</v>
      </c>
      <c r="M28" s="66">
        <v>32.9</v>
      </c>
      <c r="N28" s="66">
        <v>32.799999999999997</v>
      </c>
      <c r="O28" s="66">
        <v>33.1</v>
      </c>
      <c r="P28" s="66">
        <v>38.200000000000003</v>
      </c>
      <c r="Q28" s="66">
        <v>32.200000000000003</v>
      </c>
      <c r="R28" s="66">
        <v>34.299999999999997</v>
      </c>
      <c r="S28" s="66">
        <v>34.799999999999997</v>
      </c>
      <c r="T28" s="66">
        <v>34.4</v>
      </c>
      <c r="U28" s="66">
        <v>30.7</v>
      </c>
      <c r="V28" s="66">
        <v>32.9</v>
      </c>
      <c r="W28" s="66">
        <v>33.4</v>
      </c>
      <c r="X28" s="66">
        <v>33.200000000000003</v>
      </c>
      <c r="Y28" s="66">
        <v>35.9</v>
      </c>
      <c r="Z28" s="66">
        <v>33.1</v>
      </c>
      <c r="AA28" s="66">
        <v>34.6</v>
      </c>
      <c r="AB28" s="66">
        <v>32.700000000000003</v>
      </c>
      <c r="AC28" s="66">
        <v>35.1</v>
      </c>
      <c r="AD28" s="66">
        <v>30.5</v>
      </c>
      <c r="AE28" s="66">
        <v>33.799999999999997</v>
      </c>
      <c r="AF28" s="66">
        <v>36.200000000000003</v>
      </c>
      <c r="AG28" s="66">
        <v>33.9</v>
      </c>
      <c r="AH28" s="66">
        <v>30.6</v>
      </c>
      <c r="AI28" s="66"/>
      <c r="AJ28" s="66"/>
      <c r="AK28" s="66"/>
      <c r="AL28" s="66"/>
      <c r="AM28" s="66"/>
      <c r="AN28" s="66"/>
      <c r="AO28" s="66"/>
      <c r="AP28" s="67">
        <f t="shared" si="1"/>
        <v>24</v>
      </c>
      <c r="AQ28" s="68">
        <f t="shared" si="2"/>
        <v>33.324999999999996</v>
      </c>
      <c r="AR28" s="68">
        <f>IFERROR(VLOOKUP(A28,Climatologia_TMAX!A:U,9+$E$2,FALSE),"")</f>
        <v>31.936986466444189</v>
      </c>
      <c r="AS28" s="68">
        <f t="shared" si="3"/>
        <v>1.3880135335558066</v>
      </c>
      <c r="AT28" s="74">
        <f t="shared" si="4"/>
        <v>38.200000000000003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37903</v>
      </c>
      <c r="AW28" s="69">
        <f t="shared" si="5"/>
        <v>2.8000000000000043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33</v>
      </c>
      <c r="L29" s="66">
        <v>32.9</v>
      </c>
      <c r="M29" s="66">
        <v>34.6</v>
      </c>
      <c r="N29" s="66">
        <v>34.6</v>
      </c>
      <c r="O29" s="66">
        <v>35.6</v>
      </c>
      <c r="P29" s="66">
        <v>35.799999999999997</v>
      </c>
      <c r="Q29" s="66">
        <v>32.4</v>
      </c>
      <c r="R29" s="66">
        <v>34.4</v>
      </c>
      <c r="S29" s="66">
        <v>35.4</v>
      </c>
      <c r="T29" s="66">
        <v>35.4</v>
      </c>
      <c r="U29" s="66">
        <v>33.799999999999997</v>
      </c>
      <c r="V29" s="66">
        <v>32.799999999999997</v>
      </c>
      <c r="W29" s="66">
        <v>34.700000000000003</v>
      </c>
      <c r="X29" s="66">
        <v>35</v>
      </c>
      <c r="Y29" s="66">
        <v>35.6</v>
      </c>
      <c r="Z29" s="66">
        <v>35.9</v>
      </c>
      <c r="AA29" s="66">
        <v>33.4</v>
      </c>
      <c r="AB29" s="66">
        <v>34.4</v>
      </c>
      <c r="AC29" s="66">
        <v>35.4</v>
      </c>
      <c r="AD29" s="66">
        <v>28.2</v>
      </c>
      <c r="AE29" s="66">
        <v>33.4</v>
      </c>
      <c r="AF29" s="66">
        <v>34.799999999999997</v>
      </c>
      <c r="AG29" s="66">
        <v>35.6</v>
      </c>
      <c r="AH29" s="66">
        <v>33.4</v>
      </c>
      <c r="AI29" s="66"/>
      <c r="AJ29" s="66"/>
      <c r="AK29" s="66"/>
      <c r="AL29" s="66"/>
      <c r="AM29" s="66"/>
      <c r="AN29" s="66"/>
      <c r="AO29" s="66"/>
      <c r="AP29" s="67">
        <f t="shared" si="1"/>
        <v>24</v>
      </c>
      <c r="AQ29" s="68">
        <f t="shared" si="2"/>
        <v>34.187499999999993</v>
      </c>
      <c r="AR29" s="68">
        <f>IFERROR(VLOOKUP(A29,Climatologia_TMAX!A:U,9+$E$2,FALSE),"")</f>
        <v>33.422727598566297</v>
      </c>
      <c r="AS29" s="68">
        <f t="shared" si="3"/>
        <v>0.76477240143369585</v>
      </c>
      <c r="AT29" s="74">
        <f t="shared" si="4"/>
        <v>35.9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36.6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29" s="69">
        <f t="shared" si="5"/>
        <v>-0.70000000000000284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31.4</v>
      </c>
      <c r="L30" s="66">
        <v>27.2</v>
      </c>
      <c r="M30" s="66">
        <v>30.3</v>
      </c>
      <c r="N30" s="66">
        <v>31.2</v>
      </c>
      <c r="O30" s="66">
        <v>33.200000000000003</v>
      </c>
      <c r="P30" s="66">
        <v>31.4</v>
      </c>
      <c r="Q30" s="66">
        <v>30.2</v>
      </c>
      <c r="R30" s="66">
        <v>31.6</v>
      </c>
      <c r="S30" s="66">
        <v>33</v>
      </c>
      <c r="T30" s="66">
        <v>28.6</v>
      </c>
      <c r="U30" s="66">
        <v>31.7</v>
      </c>
      <c r="V30" s="66">
        <v>29.7</v>
      </c>
      <c r="W30" s="66">
        <v>32.200000000000003</v>
      </c>
      <c r="X30" s="66">
        <v>32.4</v>
      </c>
      <c r="Y30" s="66">
        <v>31.8</v>
      </c>
      <c r="Z30" s="66">
        <v>32.299999999999997</v>
      </c>
      <c r="AA30" s="66">
        <v>31.2</v>
      </c>
      <c r="AB30" s="66">
        <v>32.4</v>
      </c>
      <c r="AC30" s="66">
        <v>31.9</v>
      </c>
      <c r="AD30" s="66">
        <v>30.6</v>
      </c>
      <c r="AE30" s="66">
        <v>27.6</v>
      </c>
      <c r="AF30" s="66">
        <v>32.799999999999997</v>
      </c>
      <c r="AG30" s="66">
        <v>33.1</v>
      </c>
      <c r="AH30" s="66">
        <v>29.7</v>
      </c>
      <c r="AI30" s="66"/>
      <c r="AJ30" s="66"/>
      <c r="AK30" s="66"/>
      <c r="AL30" s="66"/>
      <c r="AM30" s="66"/>
      <c r="AN30" s="66"/>
      <c r="AO30" s="66"/>
      <c r="AP30" s="67">
        <f t="shared" si="1"/>
        <v>24</v>
      </c>
      <c r="AQ30" s="68">
        <f t="shared" si="2"/>
        <v>31.145833333333332</v>
      </c>
      <c r="AR30" s="68">
        <f>IFERROR(VLOOKUP(A30,Climatologia_TMAX!A:U,9+$E$2,FALSE),"")</f>
        <v>30.878376344086021</v>
      </c>
      <c r="AS30" s="68">
        <f t="shared" si="3"/>
        <v>0.26745698924731087</v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37172</v>
      </c>
      <c r="AW30" s="69">
        <f t="shared" si="5"/>
        <v>-1.1999999999999957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30.7</v>
      </c>
      <c r="L31" s="105">
        <v>33</v>
      </c>
      <c r="M31" s="105">
        <v>31.9</v>
      </c>
      <c r="N31" s="105">
        <v>32.5</v>
      </c>
      <c r="O31" s="105">
        <v>33.1</v>
      </c>
      <c r="P31" s="105">
        <v>36.6</v>
      </c>
      <c r="Q31" s="105">
        <v>34.6</v>
      </c>
      <c r="R31" s="105">
        <v>33.799999999999997</v>
      </c>
      <c r="S31" s="105">
        <v>34</v>
      </c>
      <c r="T31" s="105">
        <v>33.1</v>
      </c>
      <c r="U31" s="105">
        <v>34.1</v>
      </c>
      <c r="V31" s="105">
        <v>34.200000000000003</v>
      </c>
      <c r="W31" s="105">
        <v>35.4</v>
      </c>
      <c r="X31" s="105">
        <v>33.799999999999997</v>
      </c>
      <c r="Y31" s="105">
        <v>33.799999999999997</v>
      </c>
      <c r="Z31" s="105">
        <v>35.200000000000003</v>
      </c>
      <c r="AA31" s="105">
        <v>32.200000000000003</v>
      </c>
      <c r="AB31" s="105">
        <v>34.6</v>
      </c>
      <c r="AC31" s="105">
        <v>27.3</v>
      </c>
      <c r="AD31" s="105">
        <v>32</v>
      </c>
      <c r="AE31" s="105">
        <v>31.6</v>
      </c>
      <c r="AF31" s="105">
        <v>26.2</v>
      </c>
      <c r="AG31" s="105">
        <v>31.4</v>
      </c>
      <c r="AH31" s="105">
        <v>34.299999999999997</v>
      </c>
      <c r="AI31" s="105"/>
      <c r="AJ31" s="105"/>
      <c r="AK31" s="105"/>
      <c r="AL31" s="105"/>
      <c r="AM31" s="105"/>
      <c r="AN31" s="105"/>
      <c r="AO31" s="105"/>
      <c r="AP31" s="67">
        <f t="shared" si="1"/>
        <v>24</v>
      </c>
      <c r="AQ31" s="68">
        <f t="shared" si="2"/>
        <v>32.891666666666673</v>
      </c>
      <c r="AR31" s="68">
        <f>IFERROR(VLOOKUP(A31,Climatologia_TMAX!A:U,9+$E$2,FALSE),"")</f>
        <v>31.992189247311831</v>
      </c>
      <c r="AS31" s="68">
        <f t="shared" si="3"/>
        <v>0.8994774193548416</v>
      </c>
      <c r="AT31" s="74">
        <f t="shared" si="4"/>
        <v>36.6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37.1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38626</v>
      </c>
      <c r="AW31" s="69">
        <f t="shared" si="5"/>
        <v>-0.5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>
        <v>26.8</v>
      </c>
      <c r="L32" s="66">
        <v>25</v>
      </c>
      <c r="M32" s="66">
        <v>24</v>
      </c>
      <c r="N32" s="66">
        <v>26.8</v>
      </c>
      <c r="O32" s="66">
        <v>27</v>
      </c>
      <c r="P32" s="66">
        <v>25</v>
      </c>
      <c r="Q32" s="66">
        <v>26</v>
      </c>
      <c r="R32" s="66">
        <v>25.8</v>
      </c>
      <c r="S32" s="66">
        <v>26.6</v>
      </c>
      <c r="T32" s="66">
        <v>24.8</v>
      </c>
      <c r="U32" s="66">
        <v>26.2</v>
      </c>
      <c r="V32" s="66">
        <v>22.8</v>
      </c>
      <c r="W32" s="66">
        <v>22.6</v>
      </c>
      <c r="X32" s="66">
        <v>25.6</v>
      </c>
      <c r="Y32" s="66">
        <v>27.8</v>
      </c>
      <c r="Z32" s="66">
        <v>23.6</v>
      </c>
      <c r="AA32" s="66">
        <v>26.8</v>
      </c>
      <c r="AB32" s="66">
        <v>24.4</v>
      </c>
      <c r="AC32" s="66">
        <v>25.4</v>
      </c>
      <c r="AD32" s="66">
        <v>25.2</v>
      </c>
      <c r="AE32" s="66">
        <v>23.8</v>
      </c>
      <c r="AF32" s="66">
        <v>27</v>
      </c>
      <c r="AG32" s="66">
        <v>27.2</v>
      </c>
      <c r="AH32" s="66">
        <v>24</v>
      </c>
      <c r="AI32" s="66"/>
      <c r="AJ32" s="66"/>
      <c r="AK32" s="66"/>
      <c r="AL32" s="66"/>
      <c r="AM32" s="66"/>
      <c r="AN32" s="66"/>
      <c r="AO32" s="66"/>
      <c r="AP32" s="67">
        <f t="shared" si="1"/>
        <v>24</v>
      </c>
      <c r="AQ32" s="68">
        <f t="shared" si="2"/>
        <v>25.425000000000001</v>
      </c>
      <c r="AR32" s="68">
        <f>IFERROR(VLOOKUP(A32,Climatologia_TMAX!A:U,9+$E$2,FALSE),"")</f>
        <v>24.453269227468109</v>
      </c>
      <c r="AS32" s="68">
        <f t="shared" si="3"/>
        <v>0.97173077253189177</v>
      </c>
      <c r="AT32" s="74">
        <f t="shared" si="4"/>
        <v>27.8</v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33883</v>
      </c>
      <c r="AW32" s="69">
        <f t="shared" si="5"/>
        <v>-0.19999999999999929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25</v>
      </c>
      <c r="L33" s="66">
        <v>24</v>
      </c>
      <c r="M33" s="66">
        <v>24.2</v>
      </c>
      <c r="N33" s="66">
        <v>25.2</v>
      </c>
      <c r="O33" s="66">
        <v>26.6</v>
      </c>
      <c r="P33" s="66">
        <v>24.2</v>
      </c>
      <c r="Q33" s="66">
        <v>26</v>
      </c>
      <c r="R33" s="66">
        <v>24</v>
      </c>
      <c r="S33" s="66">
        <v>26.6</v>
      </c>
      <c r="T33" s="66">
        <v>24.4</v>
      </c>
      <c r="U33" s="66">
        <v>25.4</v>
      </c>
      <c r="V33" s="66">
        <v>19.8</v>
      </c>
      <c r="W33" s="66">
        <v>20.8</v>
      </c>
      <c r="X33" s="66">
        <v>26.4</v>
      </c>
      <c r="Y33" s="66">
        <v>27</v>
      </c>
      <c r="Z33" s="66">
        <v>21</v>
      </c>
      <c r="AA33" s="66">
        <v>24.8</v>
      </c>
      <c r="AB33" s="66">
        <v>24</v>
      </c>
      <c r="AC33" s="66">
        <v>23</v>
      </c>
      <c r="AD33" s="66">
        <v>24.2</v>
      </c>
      <c r="AE33" s="66">
        <v>22.6</v>
      </c>
      <c r="AF33" s="66">
        <v>26.2</v>
      </c>
      <c r="AG33" s="66">
        <v>26.6</v>
      </c>
      <c r="AH33" s="66">
        <v>24.4</v>
      </c>
      <c r="AI33" s="66"/>
      <c r="AJ33" s="66"/>
      <c r="AK33" s="66"/>
      <c r="AL33" s="66"/>
      <c r="AM33" s="66"/>
      <c r="AN33" s="66"/>
      <c r="AO33" s="66"/>
      <c r="AP33" s="67">
        <f t="shared" si="1"/>
        <v>24</v>
      </c>
      <c r="AQ33" s="68">
        <f t="shared" si="2"/>
        <v>24.433333333333334</v>
      </c>
      <c r="AR33" s="68">
        <f>IFERROR(VLOOKUP(A33,Climatologia_TMAX!A:U,9+$E$2,FALSE),"")</f>
        <v>23.4139779147994</v>
      </c>
      <c r="AS33" s="68">
        <f t="shared" si="3"/>
        <v>1.0193554185339337</v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27.4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37532</v>
      </c>
      <c r="AW33" s="69">
        <f t="shared" si="5"/>
        <v>-0.39999999999999858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27.452728279918489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32.200000000000003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37534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26.74952255592634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32.1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34.200000000000003</v>
      </c>
      <c r="M36" s="66">
        <v>32.4</v>
      </c>
      <c r="N36" s="66">
        <v>37</v>
      </c>
      <c r="O36" s="66">
        <v>35</v>
      </c>
      <c r="P36" s="66">
        <v>30.4</v>
      </c>
      <c r="Q36" s="66">
        <v>33.6</v>
      </c>
      <c r="R36" s="66">
        <v>35</v>
      </c>
      <c r="S36" s="66">
        <v>36.200000000000003</v>
      </c>
      <c r="T36" s="66">
        <v>30.6</v>
      </c>
      <c r="U36" s="66">
        <v>35</v>
      </c>
      <c r="V36" s="66">
        <v>29</v>
      </c>
      <c r="W36" s="66">
        <v>29</v>
      </c>
      <c r="X36" s="66">
        <v>33.799999999999997</v>
      </c>
      <c r="Y36" s="66">
        <v>36.6</v>
      </c>
      <c r="Z36" s="66">
        <v>29.4</v>
      </c>
      <c r="AA36" s="66">
        <v>33.4</v>
      </c>
      <c r="AB36" s="66">
        <v>30.8</v>
      </c>
      <c r="AC36" s="66">
        <v>27.2</v>
      </c>
      <c r="AD36" s="66">
        <v>33</v>
      </c>
      <c r="AE36" s="66">
        <v>27.2</v>
      </c>
      <c r="AF36" s="66">
        <v>32.799999999999997</v>
      </c>
      <c r="AG36" s="66">
        <v>35.6</v>
      </c>
      <c r="AH36" s="66">
        <v>33</v>
      </c>
      <c r="AI36" s="66"/>
      <c r="AJ36" s="66"/>
      <c r="AK36" s="66"/>
      <c r="AL36" s="66"/>
      <c r="AM36" s="66"/>
      <c r="AN36" s="66"/>
      <c r="AO36" s="66"/>
      <c r="AP36" s="67">
        <f t="shared" si="1"/>
        <v>24</v>
      </c>
      <c r="AQ36" s="68">
        <f t="shared" si="2"/>
        <v>32.758333333333333</v>
      </c>
      <c r="AR36" s="68">
        <f>IFERROR(VLOOKUP(A36,Climatologia_TMAX!A:U,9+$E$2,FALSE),"")</f>
        <v>32.537742899789613</v>
      </c>
      <c r="AS36" s="68">
        <f t="shared" si="3"/>
        <v>0.22059043354371966</v>
      </c>
      <c r="AT36" s="74">
        <f t="shared" si="4"/>
        <v>37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38.6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6" s="69">
        <f t="shared" si="5"/>
        <v>-1.6000000000000014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28.035092473118279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33.6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34256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26.8</v>
      </c>
      <c r="L38" s="66">
        <v>25.2</v>
      </c>
      <c r="M38" s="66">
        <v>22.4</v>
      </c>
      <c r="N38" s="66">
        <v>29</v>
      </c>
      <c r="O38" s="66">
        <v>29.8</v>
      </c>
      <c r="P38" s="66">
        <v>23.4</v>
      </c>
      <c r="Q38" s="66">
        <v>27.6</v>
      </c>
      <c r="R38" s="112">
        <v>27.4</v>
      </c>
      <c r="S38" s="66">
        <v>28.2</v>
      </c>
      <c r="T38" s="66">
        <v>23.2</v>
      </c>
      <c r="U38" s="66">
        <v>26.6</v>
      </c>
      <c r="V38" s="66">
        <v>22.8</v>
      </c>
      <c r="W38" s="66">
        <v>19</v>
      </c>
      <c r="X38" s="66">
        <v>26.8</v>
      </c>
      <c r="Y38" s="66">
        <v>29.8</v>
      </c>
      <c r="Z38" s="66">
        <v>23.8</v>
      </c>
      <c r="AA38" s="66">
        <v>26.4</v>
      </c>
      <c r="AB38" s="66">
        <v>26.6</v>
      </c>
      <c r="AC38" s="66">
        <v>23</v>
      </c>
      <c r="AD38" s="66">
        <v>26.8</v>
      </c>
      <c r="AE38" s="66">
        <v>22</v>
      </c>
      <c r="AF38" s="66">
        <v>27.6</v>
      </c>
      <c r="AG38" s="66">
        <v>27</v>
      </c>
      <c r="AH38" s="66">
        <v>23</v>
      </c>
      <c r="AI38" s="66"/>
      <c r="AJ38" s="66"/>
      <c r="AK38" s="66"/>
      <c r="AL38" s="66"/>
      <c r="AM38" s="66"/>
      <c r="AN38" s="66"/>
      <c r="AO38" s="66"/>
      <c r="AP38" s="67">
        <f t="shared" si="1"/>
        <v>24</v>
      </c>
      <c r="AQ38" s="68">
        <f t="shared" si="2"/>
        <v>25.591666666666669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29.8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28.6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24.2</v>
      </c>
      <c r="L39" s="66">
        <v>23.8</v>
      </c>
      <c r="M39" s="66">
        <v>22.4</v>
      </c>
      <c r="N39" s="66"/>
      <c r="O39" s="66"/>
      <c r="P39" s="66">
        <v>18.399999999999999</v>
      </c>
      <c r="Q39" s="66">
        <v>21.4</v>
      </c>
      <c r="R39" s="66">
        <v>18.399999999999999</v>
      </c>
      <c r="S39" s="66">
        <v>22.4</v>
      </c>
      <c r="T39" s="66">
        <v>22.6</v>
      </c>
      <c r="U39" s="66">
        <v>24.4</v>
      </c>
      <c r="V39" s="109">
        <v>18.8</v>
      </c>
      <c r="W39" s="66"/>
      <c r="X39" s="66"/>
      <c r="Y39" s="66">
        <v>26.4</v>
      </c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11</v>
      </c>
      <c r="AQ39" s="68" t="str">
        <f t="shared" si="2"/>
        <v/>
      </c>
      <c r="AR39" s="68">
        <f>IFERROR(VLOOKUP(A39,Climatologia_TMAX!A:U,9+$E$2,FALSE),"")</f>
        <v>22.97584961067853</v>
      </c>
      <c r="AS39" s="68" t="str">
        <f t="shared" si="3"/>
        <v/>
      </c>
      <c r="AT39" s="74">
        <f t="shared" si="4"/>
        <v>26.4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39014</v>
      </c>
      <c r="AW39" s="69">
        <f t="shared" si="5"/>
        <v>-2.2000000000000028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22.6</v>
      </c>
      <c r="L40" s="66">
        <v>21.4</v>
      </c>
      <c r="M40" s="66">
        <v>20.2</v>
      </c>
      <c r="N40" s="66">
        <v>23.4</v>
      </c>
      <c r="O40" s="66">
        <v>23</v>
      </c>
      <c r="P40" s="66">
        <v>21.8</v>
      </c>
      <c r="Q40" s="66">
        <v>21.8</v>
      </c>
      <c r="R40" s="66">
        <v>22.2</v>
      </c>
      <c r="S40" s="66">
        <v>24.8</v>
      </c>
      <c r="T40" s="66">
        <v>19.399999999999999</v>
      </c>
      <c r="U40" s="66">
        <v>21.8</v>
      </c>
      <c r="V40" s="66">
        <v>19.8</v>
      </c>
      <c r="W40" s="66">
        <v>17.399999999999999</v>
      </c>
      <c r="X40" s="66">
        <v>22.2</v>
      </c>
      <c r="Y40" s="66">
        <v>25.2</v>
      </c>
      <c r="Z40" s="66">
        <v>19.8</v>
      </c>
      <c r="AA40" s="66">
        <v>22.8</v>
      </c>
      <c r="AB40" s="66">
        <v>20.8</v>
      </c>
      <c r="AC40" s="66">
        <v>18.600000000000001</v>
      </c>
      <c r="AD40" s="66">
        <v>21</v>
      </c>
      <c r="AE40" s="66">
        <v>19.2</v>
      </c>
      <c r="AF40" s="66">
        <v>18.8</v>
      </c>
      <c r="AG40" s="66">
        <v>24.2</v>
      </c>
      <c r="AH40" s="66">
        <v>21.8</v>
      </c>
      <c r="AI40" s="66"/>
      <c r="AJ40" s="66"/>
      <c r="AK40" s="66"/>
      <c r="AL40" s="66"/>
      <c r="AM40" s="66"/>
      <c r="AN40" s="66"/>
      <c r="AO40" s="66"/>
      <c r="AP40" s="67">
        <f t="shared" si="1"/>
        <v>24</v>
      </c>
      <c r="AQ40" s="68">
        <f t="shared" si="2"/>
        <v>21.416666666666668</v>
      </c>
      <c r="AR40" s="68">
        <f>IFERROR(VLOOKUP(A40,Climatologia_TMAX!A:U,9+$E$2,FALSE),"")</f>
        <v>20.435367869060858</v>
      </c>
      <c r="AS40" s="68">
        <f t="shared" si="3"/>
        <v>0.98129879760580963</v>
      </c>
      <c r="AT40" s="74">
        <f t="shared" si="4"/>
        <v>25.2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25.516658156328901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29.8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31333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32.200000000000003</v>
      </c>
      <c r="L42" s="66">
        <v>28.2</v>
      </c>
      <c r="M42" s="66">
        <v>26.4</v>
      </c>
      <c r="N42" s="66">
        <v>32</v>
      </c>
      <c r="O42" s="66">
        <v>34</v>
      </c>
      <c r="P42" s="66">
        <v>28</v>
      </c>
      <c r="Q42" s="66">
        <v>30.8</v>
      </c>
      <c r="R42" s="112">
        <v>33.200000000000003</v>
      </c>
      <c r="S42" s="66">
        <v>33.200000000000003</v>
      </c>
      <c r="T42" s="66">
        <v>27.8</v>
      </c>
      <c r="U42" s="66">
        <v>29.8</v>
      </c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11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33.799999999999997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42" s="69">
        <f t="shared" si="5"/>
        <v>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32.799999999999997</v>
      </c>
      <c r="M43" s="66">
        <v>28.8</v>
      </c>
      <c r="N43" s="66">
        <v>33.4</v>
      </c>
      <c r="O43" s="66">
        <v>34</v>
      </c>
      <c r="P43" s="66">
        <v>31</v>
      </c>
      <c r="Q43" s="66">
        <v>32.6</v>
      </c>
      <c r="R43" s="66">
        <v>34.6</v>
      </c>
      <c r="S43" s="66">
        <v>34</v>
      </c>
      <c r="T43" s="66">
        <v>31.8</v>
      </c>
      <c r="U43" s="66">
        <v>32.799999999999997</v>
      </c>
      <c r="V43" s="66">
        <v>31.2</v>
      </c>
      <c r="W43" s="66">
        <v>28.2</v>
      </c>
      <c r="X43" s="66">
        <v>33.4</v>
      </c>
      <c r="Y43" s="66">
        <v>34.4</v>
      </c>
      <c r="Z43" s="66">
        <v>32.4</v>
      </c>
      <c r="AA43" s="66">
        <v>32.4</v>
      </c>
      <c r="AB43" s="66">
        <v>34.200000000000003</v>
      </c>
      <c r="AC43" s="66">
        <v>34.200000000000003</v>
      </c>
      <c r="AD43" s="66">
        <v>31.8</v>
      </c>
      <c r="AE43" s="66">
        <v>29.8</v>
      </c>
      <c r="AF43" s="66">
        <v>33</v>
      </c>
      <c r="AG43" s="66">
        <v>32</v>
      </c>
      <c r="AH43" s="66">
        <v>29.6</v>
      </c>
      <c r="AI43" s="66"/>
      <c r="AJ43" s="66"/>
      <c r="AK43" s="66"/>
      <c r="AL43" s="66"/>
      <c r="AM43" s="66"/>
      <c r="AN43" s="66"/>
      <c r="AO43" s="66"/>
      <c r="AP43" s="67">
        <f t="shared" si="1"/>
        <v>24</v>
      </c>
      <c r="AQ43" s="68">
        <f t="shared" si="2"/>
        <v>32.30833333333333</v>
      </c>
      <c r="AR43" s="68">
        <f>IFERROR(VLOOKUP(A43,Climatologia_TMAX!A:U,9+$E$2,FALSE),"")</f>
        <v>31.54853288090581</v>
      </c>
      <c r="AS43" s="68">
        <f t="shared" si="3"/>
        <v>0.7598004524275197</v>
      </c>
      <c r="AT43" s="74">
        <f t="shared" si="4"/>
        <v>34.6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44482</v>
      </c>
      <c r="AW43" s="69">
        <f t="shared" si="5"/>
        <v>-1.3999999999999986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25.8</v>
      </c>
      <c r="M44" s="66">
        <v>26.8</v>
      </c>
      <c r="N44" s="66">
        <v>26.2</v>
      </c>
      <c r="O44" s="66">
        <v>26.4</v>
      </c>
      <c r="P44" s="66">
        <v>27</v>
      </c>
      <c r="Q44" s="66">
        <v>28</v>
      </c>
      <c r="R44" s="66">
        <v>29</v>
      </c>
      <c r="S44" s="66">
        <v>26.8</v>
      </c>
      <c r="T44" s="66">
        <v>27</v>
      </c>
      <c r="U44" s="66">
        <v>28.2</v>
      </c>
      <c r="V44" s="66">
        <v>26.4</v>
      </c>
      <c r="W44" s="66">
        <v>25</v>
      </c>
      <c r="X44" s="66">
        <v>26</v>
      </c>
      <c r="Y44" s="66">
        <v>27.8</v>
      </c>
      <c r="Z44" s="66">
        <v>25</v>
      </c>
      <c r="AA44" s="109">
        <v>26</v>
      </c>
      <c r="AB44" s="66">
        <v>26.8</v>
      </c>
      <c r="AC44" s="66">
        <v>26.2</v>
      </c>
      <c r="AD44" s="66">
        <v>27</v>
      </c>
      <c r="AE44" s="66">
        <v>25.4</v>
      </c>
      <c r="AF44" s="66"/>
      <c r="AG44" s="66">
        <v>28</v>
      </c>
      <c r="AH44" s="66">
        <v>27</v>
      </c>
      <c r="AI44" s="66"/>
      <c r="AJ44" s="66"/>
      <c r="AK44" s="66"/>
      <c r="AL44" s="66"/>
      <c r="AM44" s="66"/>
      <c r="AN44" s="66"/>
      <c r="AO44" s="66"/>
      <c r="AP44" s="67">
        <f t="shared" si="1"/>
        <v>23</v>
      </c>
      <c r="AQ44" s="68">
        <f t="shared" si="2"/>
        <v>26.704347826086952</v>
      </c>
      <c r="AR44" s="68">
        <f>IFERROR(VLOOKUP(A44,Climatologia_TMAX!A:U,9+$E$2,FALSE),"")</f>
        <v>21.968111314158591</v>
      </c>
      <c r="AS44" s="68">
        <f t="shared" si="3"/>
        <v>4.7362365119283609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27.5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33.799999999999997</v>
      </c>
      <c r="L45" s="66">
        <v>32.4</v>
      </c>
      <c r="M45" s="66">
        <v>26.6</v>
      </c>
      <c r="N45" s="66">
        <v>30.4</v>
      </c>
      <c r="O45" s="66">
        <v>34.4</v>
      </c>
      <c r="P45" s="66">
        <v>29</v>
      </c>
      <c r="Q45" s="66">
        <v>33</v>
      </c>
      <c r="R45" s="66">
        <v>33.6</v>
      </c>
      <c r="S45" s="66">
        <v>34.799999999999997</v>
      </c>
      <c r="T45" s="66">
        <v>33.200000000000003</v>
      </c>
      <c r="U45" s="66">
        <v>34.799999999999997</v>
      </c>
      <c r="V45" s="66">
        <v>32</v>
      </c>
      <c r="W45" s="66">
        <v>28.4</v>
      </c>
      <c r="X45" s="66">
        <v>33.799999999999997</v>
      </c>
      <c r="Y45" s="66">
        <v>35.4</v>
      </c>
      <c r="Z45" s="66">
        <v>35.4</v>
      </c>
      <c r="AA45" s="66">
        <v>32.200000000000003</v>
      </c>
      <c r="AB45" s="66">
        <v>29</v>
      </c>
      <c r="AC45" s="66">
        <v>32.799999999999997</v>
      </c>
      <c r="AD45" s="66">
        <v>29</v>
      </c>
      <c r="AE45" s="66">
        <v>33.4</v>
      </c>
      <c r="AF45" s="66">
        <v>34</v>
      </c>
      <c r="AG45" s="66">
        <v>34.200000000000003</v>
      </c>
      <c r="AH45" s="66">
        <v>26.6</v>
      </c>
      <c r="AI45" s="66"/>
      <c r="AJ45" s="66"/>
      <c r="AK45" s="66"/>
      <c r="AL45" s="66"/>
      <c r="AM45" s="66"/>
      <c r="AN45" s="66"/>
      <c r="AO45" s="66"/>
      <c r="AP45" s="67">
        <f t="shared" si="1"/>
        <v>24</v>
      </c>
      <c r="AQ45" s="68">
        <f t="shared" si="2"/>
        <v>32.175000000000004</v>
      </c>
      <c r="AR45" s="68">
        <f>IFERROR(VLOOKUP(A45,Climatologia_TMAX!A:U,9+$E$2,FALSE),"")</f>
        <v>31.684333333333331</v>
      </c>
      <c r="AS45" s="68">
        <f t="shared" si="3"/>
        <v>0.49066666666667302</v>
      </c>
      <c r="AT45" s="74">
        <f t="shared" si="4"/>
        <v>35.4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35.799999999999997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45" s="69">
        <f t="shared" si="5"/>
        <v>-0.39999999999999858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33.4</v>
      </c>
      <c r="L46" s="66">
        <v>31.6</v>
      </c>
      <c r="M46" s="66">
        <v>26</v>
      </c>
      <c r="N46" s="66">
        <v>31.2</v>
      </c>
      <c r="O46" s="66">
        <v>31.8</v>
      </c>
      <c r="P46" s="66">
        <v>30.2</v>
      </c>
      <c r="Q46" s="66">
        <v>30.8</v>
      </c>
      <c r="R46" s="66">
        <v>31.4</v>
      </c>
      <c r="S46" s="66">
        <v>32.4</v>
      </c>
      <c r="T46" s="66">
        <v>31.8</v>
      </c>
      <c r="U46" s="66">
        <v>32.200000000000003</v>
      </c>
      <c r="V46" s="66">
        <v>31.8</v>
      </c>
      <c r="W46" s="66">
        <v>29.8</v>
      </c>
      <c r="X46" s="66">
        <v>32.799999999999997</v>
      </c>
      <c r="Y46" s="66">
        <v>32</v>
      </c>
      <c r="Z46" s="66">
        <v>32.200000000000003</v>
      </c>
      <c r="AA46" s="66">
        <v>30</v>
      </c>
      <c r="AB46" s="66">
        <v>32.799999999999997</v>
      </c>
      <c r="AC46" s="66">
        <v>31.6</v>
      </c>
      <c r="AD46" s="66">
        <v>30.2</v>
      </c>
      <c r="AE46" s="66">
        <v>29</v>
      </c>
      <c r="AF46" s="66">
        <v>32</v>
      </c>
      <c r="AG46" s="66">
        <v>30.8</v>
      </c>
      <c r="AH46" s="66">
        <v>27.6</v>
      </c>
      <c r="AI46" s="66"/>
      <c r="AJ46" s="66"/>
      <c r="AK46" s="66"/>
      <c r="AL46" s="66"/>
      <c r="AM46" s="66"/>
      <c r="AN46" s="66"/>
      <c r="AO46" s="66"/>
      <c r="AP46" s="67">
        <f t="shared" si="1"/>
        <v>24</v>
      </c>
      <c r="AQ46" s="68">
        <f t="shared" si="2"/>
        <v>31.058333333333337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33.4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34.4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38640</v>
      </c>
      <c r="AW46" s="69">
        <f t="shared" si="5"/>
        <v>-1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</v>
      </c>
      <c r="AQ49" s="68" t="str">
        <f t="shared" si="2"/>
        <v/>
      </c>
      <c r="AR49" s="68">
        <f>IFERROR(VLOOKUP(A49,Climatologia_TMAX!A:U,9+$E$2,FALSE),"")</f>
        <v>31.94134529819458</v>
      </c>
      <c r="AS49" s="68" t="str">
        <f t="shared" si="3"/>
        <v/>
      </c>
      <c r="AT49" s="74">
        <f t="shared" si="4"/>
        <v>33.799999999999997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35.799999999999997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44484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31.19024306842994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35.799999999999997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33.200000000000003</v>
      </c>
      <c r="L52" s="66">
        <v>31.4</v>
      </c>
      <c r="M52" s="66">
        <v>26</v>
      </c>
      <c r="N52" s="66">
        <v>31.8</v>
      </c>
      <c r="O52" s="66">
        <v>32.4</v>
      </c>
      <c r="P52" s="66">
        <v>29.4</v>
      </c>
      <c r="Q52" s="66">
        <v>31</v>
      </c>
      <c r="R52" s="66">
        <v>31.2</v>
      </c>
      <c r="S52" s="66">
        <v>32.200000000000003</v>
      </c>
      <c r="T52" s="66">
        <v>32</v>
      </c>
      <c r="U52" s="66">
        <v>32.799999999999997</v>
      </c>
      <c r="V52" s="66">
        <v>32.200000000000003</v>
      </c>
      <c r="W52" s="66">
        <v>30.2</v>
      </c>
      <c r="X52" s="66">
        <v>33.4</v>
      </c>
      <c r="Y52" s="66">
        <v>32.6</v>
      </c>
      <c r="Z52" s="66">
        <v>33</v>
      </c>
      <c r="AA52" s="66">
        <v>29.4</v>
      </c>
      <c r="AB52" s="66">
        <v>32</v>
      </c>
      <c r="AC52" s="66">
        <v>32.4</v>
      </c>
      <c r="AD52" s="66">
        <v>29.4</v>
      </c>
      <c r="AE52" s="66">
        <v>29</v>
      </c>
      <c r="AF52" s="66">
        <v>31.6</v>
      </c>
      <c r="AG52" s="66">
        <v>32.200000000000003</v>
      </c>
      <c r="AH52" s="66">
        <v>27.4</v>
      </c>
      <c r="AI52" s="66"/>
      <c r="AJ52" s="66"/>
      <c r="AK52" s="66"/>
      <c r="AL52" s="66"/>
      <c r="AM52" s="66"/>
      <c r="AN52" s="66"/>
      <c r="AO52" s="66"/>
      <c r="AP52" s="67">
        <f t="shared" si="1"/>
        <v>24</v>
      </c>
      <c r="AQ52" s="68">
        <f t="shared" si="2"/>
        <v>31.174999999999997</v>
      </c>
      <c r="AR52" s="68">
        <f>IFERROR(VLOOKUP(A52,Climatologia_TMAX!A:U,9+$E$2,FALSE),"")</f>
        <v>30.961069227102161</v>
      </c>
      <c r="AS52" s="68">
        <f t="shared" si="3"/>
        <v>0.21393077289783591</v>
      </c>
      <c r="AT52" s="74">
        <f t="shared" si="4"/>
        <v>33.4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28.8</v>
      </c>
      <c r="M53" s="66">
        <v>27.8</v>
      </c>
      <c r="N53" s="66">
        <v>32.799999999999997</v>
      </c>
      <c r="O53" s="66">
        <v>34</v>
      </c>
      <c r="P53" s="66">
        <v>30.8</v>
      </c>
      <c r="Q53" s="66">
        <v>34</v>
      </c>
      <c r="R53" s="66">
        <v>33</v>
      </c>
      <c r="S53" s="66">
        <v>33.799999999999997</v>
      </c>
      <c r="T53" s="66">
        <v>32</v>
      </c>
      <c r="U53" s="66">
        <v>34</v>
      </c>
      <c r="V53" s="66">
        <v>32</v>
      </c>
      <c r="W53" s="66">
        <v>29.8</v>
      </c>
      <c r="X53" s="66">
        <v>33.799999999999997</v>
      </c>
      <c r="Y53" s="66">
        <v>34.200000000000003</v>
      </c>
      <c r="Z53" s="66">
        <v>33.799999999999997</v>
      </c>
      <c r="AA53" s="66">
        <v>31</v>
      </c>
      <c r="AB53" s="66">
        <v>32</v>
      </c>
      <c r="AC53" s="66">
        <v>33.200000000000003</v>
      </c>
      <c r="AD53" s="66">
        <v>33</v>
      </c>
      <c r="AE53" s="66">
        <v>32.799999999999997</v>
      </c>
      <c r="AF53" s="66">
        <v>34</v>
      </c>
      <c r="AG53" s="66">
        <v>34.200000000000003</v>
      </c>
      <c r="AH53" s="66">
        <v>27</v>
      </c>
      <c r="AI53" s="66"/>
      <c r="AJ53" s="66"/>
      <c r="AK53" s="66"/>
      <c r="AL53" s="66"/>
      <c r="AM53" s="66"/>
      <c r="AN53" s="66"/>
      <c r="AO53" s="66"/>
      <c r="AP53" s="67">
        <f t="shared" si="1"/>
        <v>24</v>
      </c>
      <c r="AQ53" s="68">
        <f t="shared" si="2"/>
        <v>32.31666666666667</v>
      </c>
      <c r="AR53" s="68">
        <f>IFERROR(VLOOKUP(A53,Climatologia_TMAX!A:U,9+$E$2,FALSE),"")</f>
        <v>32.571180014831299</v>
      </c>
      <c r="AS53" s="68">
        <f t="shared" si="3"/>
        <v>-0.25451334816462889</v>
      </c>
      <c r="AT53" s="74">
        <f t="shared" si="4"/>
        <v>34.200000000000003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37190</v>
      </c>
      <c r="AW53" s="69">
        <f t="shared" si="5"/>
        <v>-2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/>
      <c r="L54" s="66">
        <v>35.799999999999997</v>
      </c>
      <c r="M54" s="66">
        <v>31.2</v>
      </c>
      <c r="N54" s="66">
        <v>33.799999999999997</v>
      </c>
      <c r="O54" s="66"/>
      <c r="P54" s="66">
        <v>37.4</v>
      </c>
      <c r="Q54" s="66">
        <v>32.200000000000003</v>
      </c>
      <c r="R54" s="66">
        <v>33</v>
      </c>
      <c r="S54" s="66">
        <v>36</v>
      </c>
      <c r="T54" s="66">
        <v>35.4</v>
      </c>
      <c r="U54" s="66">
        <v>36.799999999999997</v>
      </c>
      <c r="V54" s="66">
        <v>34.4</v>
      </c>
      <c r="W54" s="66">
        <v>30.4</v>
      </c>
      <c r="X54" s="66">
        <v>35.4</v>
      </c>
      <c r="Y54" s="66">
        <v>36.799999999999997</v>
      </c>
      <c r="Z54" s="66">
        <v>32.6</v>
      </c>
      <c r="AA54" s="66">
        <v>35</v>
      </c>
      <c r="AB54" s="66">
        <v>33.6</v>
      </c>
      <c r="AC54" s="66">
        <v>35.200000000000003</v>
      </c>
      <c r="AD54" s="66">
        <v>32.4</v>
      </c>
      <c r="AE54" s="66">
        <v>31.6</v>
      </c>
      <c r="AF54" s="66">
        <v>33.6</v>
      </c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20</v>
      </c>
      <c r="AQ54" s="68">
        <f t="shared" si="2"/>
        <v>34.130000000000003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37.4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0</v>
      </c>
      <c r="AQ55" s="68" t="str">
        <f t="shared" si="2"/>
        <v/>
      </c>
      <c r="AR55" s="68">
        <f>IFERROR(VLOOKUP(A55,Climatologia_TMAX!A:U,9+$E$2,FALSE),"")</f>
        <v>32.424135042773848</v>
      </c>
      <c r="AS55" s="68" t="str">
        <f t="shared" si="3"/>
        <v/>
      </c>
      <c r="AT55" s="111" t="str">
        <f t="shared" si="4"/>
        <v/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38.200000000000003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32429</v>
      </c>
      <c r="AW55" s="69" t="str">
        <f t="shared" si="5"/>
        <v>NA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31.572910956983591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36.200000000000003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33.220415292712083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38.200000000000003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37535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37.4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30957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31.957488847102312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35.9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37.799999999999997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34.799999999999997</v>
      </c>
      <c r="L67" s="66">
        <v>34.6</v>
      </c>
      <c r="M67" s="66">
        <v>34.5</v>
      </c>
      <c r="N67" s="66">
        <v>33.6</v>
      </c>
      <c r="O67" s="66">
        <v>33</v>
      </c>
      <c r="P67" s="66">
        <v>32.799999999999997</v>
      </c>
      <c r="Q67" s="66">
        <v>33.200000000000003</v>
      </c>
      <c r="R67" s="66">
        <v>33.4</v>
      </c>
      <c r="S67" s="66">
        <v>33.4</v>
      </c>
      <c r="T67" s="66">
        <v>33.4</v>
      </c>
      <c r="U67" s="66">
        <v>32.6</v>
      </c>
      <c r="V67" s="66">
        <v>32.4</v>
      </c>
      <c r="W67" s="66">
        <v>32.200000000000003</v>
      </c>
      <c r="X67" s="66">
        <v>33.6</v>
      </c>
      <c r="Y67" s="66">
        <v>33.700000000000003</v>
      </c>
      <c r="Z67" s="66">
        <v>34</v>
      </c>
      <c r="AA67" s="66">
        <v>32.6</v>
      </c>
      <c r="AB67" s="66">
        <v>32.200000000000003</v>
      </c>
      <c r="AC67" s="66">
        <v>32.700000000000003</v>
      </c>
      <c r="AD67" s="66">
        <v>32.4</v>
      </c>
      <c r="AE67" s="66">
        <v>32.200000000000003</v>
      </c>
      <c r="AF67" s="66">
        <v>32</v>
      </c>
      <c r="AG67" s="66">
        <v>32.700000000000003</v>
      </c>
      <c r="AH67" s="66">
        <v>32.6</v>
      </c>
      <c r="AI67" s="66"/>
      <c r="AJ67" s="66"/>
      <c r="AK67" s="66"/>
      <c r="AL67" s="66"/>
      <c r="AM67" s="66"/>
      <c r="AN67" s="66"/>
      <c r="AO67" s="66"/>
      <c r="AP67" s="67">
        <f t="shared" si="1"/>
        <v>24</v>
      </c>
      <c r="AQ67" s="68">
        <f t="shared" si="2"/>
        <v>33.108333333333341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34.4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40107</v>
      </c>
      <c r="AW67" s="69">
        <f t="shared" si="5"/>
        <v>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32.636182795698907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>
        <v>31.8</v>
      </c>
      <c r="L72" s="66">
        <v>33.6</v>
      </c>
      <c r="M72" s="66">
        <v>31.6</v>
      </c>
      <c r="N72" s="66">
        <v>32.6</v>
      </c>
      <c r="O72" s="66">
        <v>34.799999999999997</v>
      </c>
      <c r="P72" s="66">
        <v>30.6</v>
      </c>
      <c r="Q72" s="66">
        <v>31.2</v>
      </c>
      <c r="R72" s="66">
        <v>33.799999999999997</v>
      </c>
      <c r="S72" s="66">
        <v>34.799999999999997</v>
      </c>
      <c r="T72" s="66">
        <v>34.4</v>
      </c>
      <c r="U72" s="66">
        <v>35</v>
      </c>
      <c r="V72" s="66">
        <v>34</v>
      </c>
      <c r="W72" s="66">
        <v>31</v>
      </c>
      <c r="X72" s="66">
        <v>34.4</v>
      </c>
      <c r="Y72" s="66">
        <v>36.200000000000003</v>
      </c>
      <c r="Z72" s="66">
        <v>35.6</v>
      </c>
      <c r="AA72" s="66">
        <v>32.200000000000003</v>
      </c>
      <c r="AB72" s="66">
        <v>32.799999999999997</v>
      </c>
      <c r="AC72" s="66">
        <v>33</v>
      </c>
      <c r="AD72" s="66">
        <v>31</v>
      </c>
      <c r="AE72" s="66">
        <v>30.8</v>
      </c>
      <c r="AF72" s="66">
        <v>33.4</v>
      </c>
      <c r="AG72" s="66">
        <v>33.6</v>
      </c>
      <c r="AH72" s="66">
        <v>30.4</v>
      </c>
      <c r="AI72" s="66"/>
      <c r="AJ72" s="66"/>
      <c r="AK72" s="66"/>
      <c r="AL72" s="66"/>
      <c r="AM72" s="66"/>
      <c r="AN72" s="66"/>
      <c r="AO72" s="66"/>
      <c r="AP72" s="67">
        <f t="shared" si="6"/>
        <v>24</v>
      </c>
      <c r="AQ72" s="68">
        <f t="shared" si="7"/>
        <v>33.024999999999991</v>
      </c>
      <c r="AR72" s="68">
        <f>IFERROR(VLOOKUP(A72,Climatologia_TMAX!A:U,9+$E$2,FALSE),"")</f>
        <v>32.022639758461779</v>
      </c>
      <c r="AS72" s="68">
        <f t="shared" si="8"/>
        <v>1.0023602415382129</v>
      </c>
      <c r="AT72" s="74">
        <f t="shared" si="9"/>
        <v>36.200000000000003</v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36.200000000000003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2" s="69">
        <f t="shared" si="10"/>
        <v>0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33159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34</v>
      </c>
      <c r="L76" s="66">
        <v>30.8</v>
      </c>
      <c r="M76" s="66">
        <v>25.2</v>
      </c>
      <c r="N76" s="66">
        <v>29.4</v>
      </c>
      <c r="O76" s="66">
        <v>33.6</v>
      </c>
      <c r="P76" s="66">
        <v>28.2</v>
      </c>
      <c r="Q76" s="66">
        <v>32.6</v>
      </c>
      <c r="R76" s="66">
        <v>32.200000000000003</v>
      </c>
      <c r="S76" s="66">
        <v>34.200000000000003</v>
      </c>
      <c r="T76" s="66">
        <v>33.4</v>
      </c>
      <c r="U76" s="66">
        <v>33.799999999999997</v>
      </c>
      <c r="V76" s="66">
        <v>31.4</v>
      </c>
      <c r="W76" s="66">
        <v>27.8</v>
      </c>
      <c r="X76" s="66">
        <v>32.799999999999997</v>
      </c>
      <c r="Y76" s="66">
        <v>34.799999999999997</v>
      </c>
      <c r="Z76" s="66">
        <v>35</v>
      </c>
      <c r="AA76" s="66">
        <v>29.4</v>
      </c>
      <c r="AB76" s="66">
        <v>29.2</v>
      </c>
      <c r="AC76" s="66">
        <v>32.200000000000003</v>
      </c>
      <c r="AD76" s="66">
        <v>29</v>
      </c>
      <c r="AE76" s="66">
        <v>30.4</v>
      </c>
      <c r="AF76" s="66">
        <v>33.4</v>
      </c>
      <c r="AG76" s="66">
        <v>33.6</v>
      </c>
      <c r="AH76" s="66">
        <v>26.6</v>
      </c>
      <c r="AI76" s="66"/>
      <c r="AJ76" s="66"/>
      <c r="AK76" s="66"/>
      <c r="AL76" s="66"/>
      <c r="AM76" s="66"/>
      <c r="AN76" s="66"/>
      <c r="AO76" s="66"/>
      <c r="AP76" s="67">
        <f t="shared" si="6"/>
        <v>24</v>
      </c>
      <c r="AQ76" s="68">
        <f t="shared" si="7"/>
        <v>31.375000000000004</v>
      </c>
      <c r="AR76" s="68">
        <f>IFERROR(VLOOKUP(A76,Climatologia_TMAX!A:U,9+$E$2,FALSE),"")</f>
        <v>31.112293906810031</v>
      </c>
      <c r="AS76" s="68">
        <f t="shared" si="8"/>
        <v>0.26270609318997273</v>
      </c>
      <c r="AT76" s="74">
        <f t="shared" si="9"/>
        <v>35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35.4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28.6</v>
      </c>
      <c r="L77" s="66">
        <v>31.2</v>
      </c>
      <c r="M77" s="66">
        <v>33.6</v>
      </c>
      <c r="N77" s="66">
        <v>34.6</v>
      </c>
      <c r="O77" s="66">
        <v>35</v>
      </c>
      <c r="P77" s="66">
        <v>33.6</v>
      </c>
      <c r="Q77" s="66">
        <v>30</v>
      </c>
      <c r="R77" s="66">
        <v>33.6</v>
      </c>
      <c r="S77" s="66">
        <v>33.799999999999997</v>
      </c>
      <c r="T77" s="109">
        <v>31</v>
      </c>
      <c r="U77" s="66">
        <v>31</v>
      </c>
      <c r="V77" s="66">
        <v>31.4</v>
      </c>
      <c r="W77" s="66">
        <v>34.4</v>
      </c>
      <c r="X77" s="66">
        <v>34.200000000000003</v>
      </c>
      <c r="Y77" s="66">
        <v>33.6</v>
      </c>
      <c r="Z77" s="66">
        <v>32.200000000000003</v>
      </c>
      <c r="AA77" s="66">
        <v>29.2</v>
      </c>
      <c r="AB77" s="66">
        <v>33.4</v>
      </c>
      <c r="AC77" s="66">
        <v>34.6</v>
      </c>
      <c r="AD77" s="66">
        <v>31</v>
      </c>
      <c r="AE77" s="66">
        <v>32.4</v>
      </c>
      <c r="AF77" s="66">
        <v>33</v>
      </c>
      <c r="AG77" s="66">
        <v>33.799999999999997</v>
      </c>
      <c r="AH77" s="66">
        <v>33.4</v>
      </c>
      <c r="AI77" s="66"/>
      <c r="AJ77" s="66"/>
      <c r="AK77" s="66"/>
      <c r="AL77" s="66"/>
      <c r="AM77" s="66"/>
      <c r="AN77" s="66"/>
      <c r="AO77" s="66"/>
      <c r="AP77" s="67">
        <f t="shared" si="6"/>
        <v>24</v>
      </c>
      <c r="AQ77" s="68">
        <f t="shared" si="7"/>
        <v>32.608333333333327</v>
      </c>
      <c r="AR77" s="68">
        <f>IFERROR(VLOOKUP(A77,Climatologia_TMAX!A:U,9+$E$2,FALSE),"")</f>
        <v>31.68458781362007</v>
      </c>
      <c r="AS77" s="68">
        <f t="shared" si="8"/>
        <v>0.92374551971325758</v>
      </c>
      <c r="AT77" s="74">
        <f t="shared" si="9"/>
        <v>35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36.200000000000003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77" s="69">
        <f t="shared" si="10"/>
        <v>-1.2000000000000028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31.083983755913678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</v>
      </c>
      <c r="L79" s="66">
        <v>31.2</v>
      </c>
      <c r="M79" s="66">
        <v>31.2</v>
      </c>
      <c r="N79" s="66">
        <v>32.799999999999997</v>
      </c>
      <c r="O79" s="66">
        <v>33.799999999999997</v>
      </c>
      <c r="P79" s="66">
        <v>34.200000000000003</v>
      </c>
      <c r="Q79" s="66">
        <v>31.2</v>
      </c>
      <c r="R79" s="66">
        <v>31.2</v>
      </c>
      <c r="S79" s="66">
        <v>33.200000000000003</v>
      </c>
      <c r="T79" s="66">
        <v>33.200000000000003</v>
      </c>
      <c r="U79" s="66">
        <v>33.200000000000003</v>
      </c>
      <c r="V79" s="66">
        <v>33.200000000000003</v>
      </c>
      <c r="W79" s="66">
        <v>33.200000000000003</v>
      </c>
      <c r="X79" s="66">
        <v>32.6</v>
      </c>
      <c r="Y79" s="66">
        <v>32.4</v>
      </c>
      <c r="Z79" s="66">
        <v>33.4</v>
      </c>
      <c r="AA79" s="66">
        <v>31</v>
      </c>
      <c r="AB79" s="66">
        <v>32.6</v>
      </c>
      <c r="AC79" s="66"/>
      <c r="AD79" s="66">
        <v>34.200000000000003</v>
      </c>
      <c r="AE79" s="66"/>
      <c r="AF79" s="66"/>
      <c r="AG79" s="66">
        <v>32.6</v>
      </c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20</v>
      </c>
      <c r="AQ79" s="68">
        <f t="shared" si="7"/>
        <v>32.619999999999997</v>
      </c>
      <c r="AR79" s="68">
        <f>IFERROR(VLOOKUP(A79,Climatologia_TMAX!A:U,9+$E$2,FALSE),"")</f>
        <v>31.526981315058869</v>
      </c>
      <c r="AS79" s="68">
        <f t="shared" si="8"/>
        <v>1.0930186849411285</v>
      </c>
      <c r="AT79" s="74">
        <f t="shared" si="9"/>
        <v>34.200000000000003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37.799999999999997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33171</v>
      </c>
      <c r="AW79" s="69">
        <f t="shared" si="10"/>
        <v>-3.5999999999999943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</v>
      </c>
      <c r="L80" s="66">
        <v>32.799999999999997</v>
      </c>
      <c r="M80" s="66">
        <v>32.799999999999997</v>
      </c>
      <c r="N80" s="66">
        <v>32</v>
      </c>
      <c r="O80" s="66">
        <v>34.6</v>
      </c>
      <c r="P80" s="66">
        <v>35</v>
      </c>
      <c r="Q80" s="66">
        <v>29</v>
      </c>
      <c r="R80" s="66">
        <v>32.4</v>
      </c>
      <c r="S80" s="66">
        <v>33.4</v>
      </c>
      <c r="T80" s="66">
        <v>29.8</v>
      </c>
      <c r="U80" s="66">
        <v>32.200000000000003</v>
      </c>
      <c r="V80" s="66">
        <v>29.6</v>
      </c>
      <c r="W80" s="66">
        <v>34</v>
      </c>
      <c r="X80" s="66">
        <v>34.200000000000003</v>
      </c>
      <c r="Y80" s="66">
        <v>33</v>
      </c>
      <c r="Z80" s="66">
        <v>33</v>
      </c>
      <c r="AA80" s="66">
        <v>29</v>
      </c>
      <c r="AB80" s="66">
        <v>32.4</v>
      </c>
      <c r="AC80" s="66">
        <v>33.799999999999997</v>
      </c>
      <c r="AD80" s="66">
        <v>33.799999999999997</v>
      </c>
      <c r="AE80" s="66">
        <v>29.4</v>
      </c>
      <c r="AF80" s="66">
        <v>32.4</v>
      </c>
      <c r="AG80" s="66">
        <v>32.799999999999997</v>
      </c>
      <c r="AH80" s="66">
        <v>30.6</v>
      </c>
      <c r="AI80" s="66"/>
      <c r="AJ80" s="66"/>
      <c r="AK80" s="66"/>
      <c r="AL80" s="66"/>
      <c r="AM80" s="66"/>
      <c r="AN80" s="66"/>
      <c r="AO80" s="66"/>
      <c r="AP80" s="67">
        <f t="shared" si="6"/>
        <v>24</v>
      </c>
      <c r="AQ80" s="68">
        <f t="shared" si="7"/>
        <v>32.291666666666657</v>
      </c>
      <c r="AR80" s="68">
        <f>IFERROR(VLOOKUP(A80,Climatologia_TMAX!A:U,9+$E$2,FALSE),"")</f>
        <v>31.665918946536721</v>
      </c>
      <c r="AS80" s="68">
        <f t="shared" si="8"/>
        <v>0.62574772012993662</v>
      </c>
      <c r="AT80" s="74">
        <f t="shared" si="9"/>
        <v>35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34264</v>
      </c>
      <c r="AW80" s="69">
        <f t="shared" si="10"/>
        <v>-0.39999999999999858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32.799999999999997</v>
      </c>
      <c r="L81" s="66">
        <v>28.6</v>
      </c>
      <c r="M81" s="66">
        <v>30.8</v>
      </c>
      <c r="N81" s="66">
        <v>31.6</v>
      </c>
      <c r="O81" s="66">
        <v>34.4</v>
      </c>
      <c r="P81" s="66">
        <v>33</v>
      </c>
      <c r="Q81" s="66">
        <v>33.4</v>
      </c>
      <c r="R81" s="66">
        <v>33.200000000000003</v>
      </c>
      <c r="S81" s="66">
        <v>32.6</v>
      </c>
      <c r="T81" s="66">
        <v>30.4</v>
      </c>
      <c r="U81" s="66">
        <v>33.200000000000003</v>
      </c>
      <c r="V81" s="66">
        <v>29.8</v>
      </c>
      <c r="W81" s="66">
        <v>32.799999999999997</v>
      </c>
      <c r="X81" s="66">
        <v>32.4</v>
      </c>
      <c r="Y81" s="66">
        <v>32</v>
      </c>
      <c r="Z81" s="66">
        <v>32.6</v>
      </c>
      <c r="AA81" s="66">
        <v>31.6</v>
      </c>
      <c r="AB81" s="66">
        <v>31.4</v>
      </c>
      <c r="AC81" s="66">
        <v>32.799999999999997</v>
      </c>
      <c r="AD81" s="66">
        <v>31.4</v>
      </c>
      <c r="AE81" s="66">
        <v>29.6</v>
      </c>
      <c r="AF81" s="66">
        <v>31.8</v>
      </c>
      <c r="AG81" s="66">
        <v>33.6</v>
      </c>
      <c r="AH81" s="66">
        <v>29.6</v>
      </c>
      <c r="AI81" s="66"/>
      <c r="AJ81" s="66"/>
      <c r="AK81" s="66"/>
      <c r="AL81" s="66"/>
      <c r="AM81" s="66"/>
      <c r="AN81" s="66"/>
      <c r="AO81" s="66"/>
      <c r="AP81" s="67">
        <f t="shared" si="6"/>
        <v>24</v>
      </c>
      <c r="AQ81" s="68">
        <f t="shared" si="7"/>
        <v>31.891666666666666</v>
      </c>
      <c r="AR81" s="68">
        <f>IFERROR(VLOOKUP(A81,Climatologia_TMAX!A:U,9+$E$2,FALSE),"")</f>
        <v>31.138033558745459</v>
      </c>
      <c r="AS81" s="68">
        <f t="shared" si="8"/>
        <v>0.75363310792120686</v>
      </c>
      <c r="AT81" s="74">
        <f t="shared" si="9"/>
        <v>34.4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81" s="69">
        <f t="shared" si="10"/>
        <v>-0.60000000000000142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36.4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32.4</v>
      </c>
      <c r="L83" s="66">
        <v>27.4</v>
      </c>
      <c r="M83" s="66">
        <v>31.6</v>
      </c>
      <c r="N83" s="66">
        <v>30.8</v>
      </c>
      <c r="O83" s="66">
        <v>33.799999999999997</v>
      </c>
      <c r="P83" s="66">
        <v>34</v>
      </c>
      <c r="Q83" s="66">
        <v>28.4</v>
      </c>
      <c r="R83" s="66">
        <v>33</v>
      </c>
      <c r="S83" s="66">
        <v>33</v>
      </c>
      <c r="T83" s="66">
        <v>29.8</v>
      </c>
      <c r="U83" s="66">
        <v>34</v>
      </c>
      <c r="V83" s="66">
        <v>30.2</v>
      </c>
      <c r="W83" s="66">
        <v>34.299999999999997</v>
      </c>
      <c r="X83" s="66">
        <v>34</v>
      </c>
      <c r="Y83" s="66">
        <v>33</v>
      </c>
      <c r="Z83" s="66">
        <v>33.200000000000003</v>
      </c>
      <c r="AA83" s="66">
        <v>31</v>
      </c>
      <c r="AB83" s="66">
        <v>32.4</v>
      </c>
      <c r="AC83" s="66">
        <v>33.6</v>
      </c>
      <c r="AD83" s="66">
        <v>31.8</v>
      </c>
      <c r="AE83" s="66">
        <v>28.4</v>
      </c>
      <c r="AF83" s="66">
        <v>32</v>
      </c>
      <c r="AG83" s="66">
        <v>32</v>
      </c>
      <c r="AH83" s="66">
        <v>30</v>
      </c>
      <c r="AI83" s="66"/>
      <c r="AJ83" s="66"/>
      <c r="AK83" s="66"/>
      <c r="AL83" s="66"/>
      <c r="AM83" s="66"/>
      <c r="AN83" s="66"/>
      <c r="AO83" s="66"/>
      <c r="AP83" s="67">
        <f t="shared" si="6"/>
        <v>24</v>
      </c>
      <c r="AQ83" s="68">
        <f t="shared" si="7"/>
        <v>31.837499999999995</v>
      </c>
      <c r="AR83" s="68">
        <f>IFERROR(VLOOKUP(A83,Climatologia_TMAX!A:U,9+$E$2,FALSE),"")</f>
        <v>31.31605406550732</v>
      </c>
      <c r="AS83" s="68">
        <f t="shared" si="8"/>
        <v>0.52144593449267518</v>
      </c>
      <c r="AT83" s="74">
        <f t="shared" si="9"/>
        <v>34.299999999999997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31.2383676783728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31.8</v>
      </c>
      <c r="L85" s="66">
        <v>27.4</v>
      </c>
      <c r="M85" s="66">
        <v>30.8</v>
      </c>
      <c r="N85" s="66">
        <v>31.4</v>
      </c>
      <c r="O85" s="66">
        <v>33.799999999999997</v>
      </c>
      <c r="P85" s="66">
        <v>33.4</v>
      </c>
      <c r="Q85" s="66">
        <v>29.8</v>
      </c>
      <c r="R85" s="66">
        <v>32.4</v>
      </c>
      <c r="S85" s="66">
        <v>32.799999999999997</v>
      </c>
      <c r="T85" s="66">
        <v>31</v>
      </c>
      <c r="U85" s="66">
        <v>32.6</v>
      </c>
      <c r="V85" s="66">
        <v>30.4</v>
      </c>
      <c r="W85" s="66">
        <v>33.4</v>
      </c>
      <c r="X85" s="66">
        <v>32.799999999999997</v>
      </c>
      <c r="Y85" s="66">
        <v>32.200000000000003</v>
      </c>
      <c r="Z85" s="66">
        <v>32.6</v>
      </c>
      <c r="AA85" s="66">
        <v>31.2</v>
      </c>
      <c r="AB85" s="66">
        <v>32.4</v>
      </c>
      <c r="AC85" s="66">
        <v>32.6</v>
      </c>
      <c r="AD85" s="66">
        <v>31.4</v>
      </c>
      <c r="AE85" s="66">
        <v>29</v>
      </c>
      <c r="AF85" s="66">
        <v>32.799999999999997</v>
      </c>
      <c r="AG85" s="66">
        <v>33</v>
      </c>
      <c r="AH85" s="66">
        <v>30.8</v>
      </c>
      <c r="AI85" s="66"/>
      <c r="AJ85" s="66"/>
      <c r="AK85" s="66"/>
      <c r="AL85" s="66"/>
      <c r="AM85" s="66"/>
      <c r="AN85" s="66"/>
      <c r="AO85" s="66"/>
      <c r="AP85" s="67">
        <f t="shared" si="6"/>
        <v>24</v>
      </c>
      <c r="AQ85" s="68">
        <f t="shared" si="7"/>
        <v>31.741666666666664</v>
      </c>
      <c r="AR85" s="68">
        <f>IFERROR(VLOOKUP(A85,Climatologia_TMAX!A:U,9+$E$2,FALSE),"")</f>
        <v>31.225896776248529</v>
      </c>
      <c r="AS85" s="68">
        <f t="shared" si="8"/>
        <v>0.51576989041813448</v>
      </c>
      <c r="AT85" s="74">
        <f t="shared" si="9"/>
        <v>33.799999999999997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34.6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85" s="69">
        <f t="shared" si="10"/>
        <v>-0.80000000000000426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31.8</v>
      </c>
      <c r="L86" s="66">
        <v>27.2</v>
      </c>
      <c r="M86" s="66">
        <v>29.4</v>
      </c>
      <c r="N86" s="66">
        <v>33.200000000000003</v>
      </c>
      <c r="O86" s="66">
        <v>34.6</v>
      </c>
      <c r="P86" s="66">
        <v>34</v>
      </c>
      <c r="Q86" s="66">
        <v>32.200000000000003</v>
      </c>
      <c r="R86" s="66">
        <v>33</v>
      </c>
      <c r="S86" s="66">
        <v>33.799999999999997</v>
      </c>
      <c r="T86" s="66">
        <v>31.2</v>
      </c>
      <c r="U86" s="66">
        <v>33.4</v>
      </c>
      <c r="V86" s="66">
        <v>30.8</v>
      </c>
      <c r="W86" s="66">
        <v>33.799999999999997</v>
      </c>
      <c r="X86" s="66">
        <v>32.799999999999997</v>
      </c>
      <c r="Y86" s="66">
        <v>33.6</v>
      </c>
      <c r="Z86" s="66">
        <v>33.200000000000003</v>
      </c>
      <c r="AA86" s="66">
        <v>30</v>
      </c>
      <c r="AB86" s="66">
        <v>33.200000000000003</v>
      </c>
      <c r="AC86" s="66">
        <v>33.6</v>
      </c>
      <c r="AD86" s="66">
        <v>32.4</v>
      </c>
      <c r="AE86" s="66">
        <v>31.2</v>
      </c>
      <c r="AF86" s="66">
        <v>33.4</v>
      </c>
      <c r="AG86" s="66">
        <v>33.799999999999997</v>
      </c>
      <c r="AH86" s="66">
        <v>32</v>
      </c>
      <c r="AI86" s="66"/>
      <c r="AJ86" s="66"/>
      <c r="AK86" s="66"/>
      <c r="AL86" s="66"/>
      <c r="AM86" s="66"/>
      <c r="AN86" s="66"/>
      <c r="AO86" s="66"/>
      <c r="AP86" s="67">
        <f t="shared" si="6"/>
        <v>24</v>
      </c>
      <c r="AQ86" s="68">
        <f t="shared" si="7"/>
        <v>32.400000000000006</v>
      </c>
      <c r="AR86" s="68">
        <f>IFERROR(VLOOKUP(A86,Climatologia_TMAX!A:U,9+$E$2,FALSE),"")</f>
        <v>31.290962827597969</v>
      </c>
      <c r="AS86" s="68">
        <f t="shared" si="8"/>
        <v>1.1090371724020365</v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86" s="69">
        <f t="shared" si="10"/>
        <v>-0.79999999999999716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31</v>
      </c>
      <c r="M87" s="66">
        <v>33.4</v>
      </c>
      <c r="N87" s="66">
        <v>34.200000000000003</v>
      </c>
      <c r="O87" s="66">
        <v>33.799999999999997</v>
      </c>
      <c r="P87" s="66">
        <v>34.799999999999997</v>
      </c>
      <c r="Q87" s="66">
        <v>26.6</v>
      </c>
      <c r="R87" s="66">
        <v>32.799999999999997</v>
      </c>
      <c r="S87" s="66">
        <v>33.4</v>
      </c>
      <c r="T87" s="66">
        <v>32.799999999999997</v>
      </c>
      <c r="U87" s="66">
        <v>34</v>
      </c>
      <c r="V87" s="66">
        <v>32</v>
      </c>
      <c r="W87" s="66">
        <v>33.6</v>
      </c>
      <c r="X87" s="66">
        <v>33.4</v>
      </c>
      <c r="Y87" s="66">
        <v>34</v>
      </c>
      <c r="Z87" s="66">
        <v>33.799999999999997</v>
      </c>
      <c r="AA87" s="66">
        <v>31.4</v>
      </c>
      <c r="AB87" s="66">
        <v>33.4</v>
      </c>
      <c r="AC87" s="66">
        <v>34.200000000000003</v>
      </c>
      <c r="AD87" s="66">
        <v>33.200000000000003</v>
      </c>
      <c r="AE87" s="66">
        <v>32.6</v>
      </c>
      <c r="AF87" s="66">
        <v>33</v>
      </c>
      <c r="AG87" s="66">
        <v>33.4</v>
      </c>
      <c r="AH87" s="66">
        <v>32.4</v>
      </c>
      <c r="AI87" s="66"/>
      <c r="AJ87" s="66"/>
      <c r="AK87" s="66"/>
      <c r="AL87" s="66"/>
      <c r="AM87" s="66"/>
      <c r="AN87" s="66"/>
      <c r="AO87" s="66"/>
      <c r="AP87" s="67">
        <f t="shared" si="6"/>
        <v>24</v>
      </c>
      <c r="AQ87" s="68">
        <f t="shared" si="7"/>
        <v>32.925000000000004</v>
      </c>
      <c r="AR87" s="68">
        <f>IFERROR(VLOOKUP(A87,Climatologia_TMAX!A:U,9+$E$2,FALSE),"")</f>
        <v>31.59519477059559</v>
      </c>
      <c r="AS87" s="68">
        <f t="shared" si="8"/>
        <v>1.329805229404414</v>
      </c>
      <c r="AT87" s="74">
        <f t="shared" si="9"/>
        <v>34.799999999999997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87" s="69">
        <f t="shared" si="10"/>
        <v>-1.2000000000000028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32.811853281459022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37.200000000000003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45202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29.506435717326511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34.6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31.4</v>
      </c>
      <c r="L90" s="66">
        <v>30.2</v>
      </c>
      <c r="M90" s="66">
        <v>29.3</v>
      </c>
      <c r="N90" s="66">
        <v>34</v>
      </c>
      <c r="O90" s="66">
        <v>34</v>
      </c>
      <c r="P90" s="66">
        <v>30</v>
      </c>
      <c r="Q90" s="66">
        <v>32.299999999999997</v>
      </c>
      <c r="R90" s="66">
        <v>31.4</v>
      </c>
      <c r="S90" s="66">
        <v>31</v>
      </c>
      <c r="T90" s="66">
        <v>34.1</v>
      </c>
      <c r="U90" s="66">
        <v>34</v>
      </c>
      <c r="V90" s="66">
        <v>31.3</v>
      </c>
      <c r="W90" s="66">
        <v>32.4</v>
      </c>
      <c r="X90" s="66">
        <v>30.2</v>
      </c>
      <c r="Y90" s="66">
        <v>33.1</v>
      </c>
      <c r="Z90" s="66">
        <v>31.3</v>
      </c>
      <c r="AA90" s="66">
        <v>33.1</v>
      </c>
      <c r="AB90" s="66">
        <v>33.200000000000003</v>
      </c>
      <c r="AC90" s="66">
        <v>30</v>
      </c>
      <c r="AD90" s="66">
        <v>31.4</v>
      </c>
      <c r="AE90" s="66">
        <v>31.4</v>
      </c>
      <c r="AF90" s="109">
        <v>31.2</v>
      </c>
      <c r="AG90" s="66">
        <v>31.4</v>
      </c>
      <c r="AH90" s="66">
        <v>33.200000000000003</v>
      </c>
      <c r="AI90" s="66"/>
      <c r="AJ90" s="66"/>
      <c r="AK90" s="66"/>
      <c r="AL90" s="66"/>
      <c r="AM90" s="66"/>
      <c r="AN90" s="66"/>
      <c r="AO90" s="66"/>
      <c r="AP90" s="67">
        <f t="shared" si="6"/>
        <v>24</v>
      </c>
      <c r="AQ90" s="68">
        <f t="shared" si="7"/>
        <v>31.870833333333337</v>
      </c>
      <c r="AR90" s="68">
        <f>IFERROR(VLOOKUP(A90,Climatologia_TMAX!A:U,9+$E$2,FALSE),"")</f>
        <v>31.086687000841621</v>
      </c>
      <c r="AS90" s="68">
        <f t="shared" si="8"/>
        <v>0.78414633249171573</v>
      </c>
      <c r="AT90" s="74">
        <f t="shared" si="9"/>
        <v>34.1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42662</v>
      </c>
      <c r="AW90" s="69">
        <f t="shared" si="10"/>
        <v>-0.5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33.1</v>
      </c>
      <c r="L91" s="66">
        <v>31.2</v>
      </c>
      <c r="M91" s="66">
        <v>33.200000000000003</v>
      </c>
      <c r="N91" s="66">
        <v>33.1</v>
      </c>
      <c r="O91" s="66">
        <v>34</v>
      </c>
      <c r="P91" s="66">
        <v>34.1</v>
      </c>
      <c r="Q91" s="66">
        <v>29</v>
      </c>
      <c r="R91" s="66">
        <v>33.1</v>
      </c>
      <c r="S91" s="66">
        <v>33.4</v>
      </c>
      <c r="T91" s="66">
        <v>32</v>
      </c>
      <c r="U91" s="66">
        <v>33.4</v>
      </c>
      <c r="V91" s="66">
        <v>32.299999999999997</v>
      </c>
      <c r="W91" s="66">
        <v>33.200000000000003</v>
      </c>
      <c r="X91" s="66">
        <v>33.1</v>
      </c>
      <c r="Y91" s="66">
        <v>34.299999999999997</v>
      </c>
      <c r="Z91" s="107">
        <v>34.1</v>
      </c>
      <c r="AA91" s="66">
        <v>28.3</v>
      </c>
      <c r="AB91" s="66">
        <v>33</v>
      </c>
      <c r="AC91" s="66">
        <v>34.1</v>
      </c>
      <c r="AD91" s="66">
        <v>31.3</v>
      </c>
      <c r="AE91" s="66">
        <v>31.4</v>
      </c>
      <c r="AF91" s="66">
        <v>33.4</v>
      </c>
      <c r="AG91" s="66">
        <v>33.1</v>
      </c>
      <c r="AH91" s="66">
        <v>32</v>
      </c>
      <c r="AI91" s="66"/>
      <c r="AJ91" s="66"/>
      <c r="AK91" s="66"/>
      <c r="AL91" s="66"/>
      <c r="AM91" s="66"/>
      <c r="AN91" s="66"/>
      <c r="AO91" s="66"/>
      <c r="AP91" s="67">
        <f t="shared" si="6"/>
        <v>24</v>
      </c>
      <c r="AQ91" s="68">
        <f t="shared" si="7"/>
        <v>32.633333333333333</v>
      </c>
      <c r="AR91" s="68">
        <f>IFERROR(VLOOKUP(A91,Climatologia_TMAX!A:U,9+$E$2,FALSE),"")</f>
        <v>32.110025726590813</v>
      </c>
      <c r="AS91" s="68">
        <f t="shared" si="8"/>
        <v>0.52330760674252019</v>
      </c>
      <c r="AT91" s="74">
        <f t="shared" si="9"/>
        <v>34.299999999999997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32441</v>
      </c>
      <c r="AW91" s="69">
        <f t="shared" si="10"/>
        <v>-2.3000000000000043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28.6</v>
      </c>
      <c r="L94" s="66">
        <v>32.200000000000003</v>
      </c>
      <c r="M94" s="66">
        <v>35</v>
      </c>
      <c r="N94" s="66">
        <v>35.6</v>
      </c>
      <c r="O94" s="66">
        <v>35.4</v>
      </c>
      <c r="P94" s="66">
        <v>35.200000000000003</v>
      </c>
      <c r="Q94" s="66">
        <v>32</v>
      </c>
      <c r="R94" s="66">
        <v>34.4</v>
      </c>
      <c r="S94" s="66">
        <v>31.2</v>
      </c>
      <c r="T94" s="66">
        <v>34</v>
      </c>
      <c r="U94" s="66">
        <v>31.4</v>
      </c>
      <c r="V94" s="66">
        <v>33.6</v>
      </c>
      <c r="W94" s="66">
        <v>33</v>
      </c>
      <c r="X94" s="66">
        <v>32.4</v>
      </c>
      <c r="Y94" s="66">
        <v>34.4</v>
      </c>
      <c r="Z94" s="66">
        <v>33</v>
      </c>
      <c r="AA94" s="66">
        <v>33.200000000000003</v>
      </c>
      <c r="AB94" s="66">
        <v>32.6</v>
      </c>
      <c r="AC94" s="66">
        <v>34.4</v>
      </c>
      <c r="AD94" s="66">
        <v>27.6</v>
      </c>
      <c r="AE94" s="66">
        <v>33.200000000000003</v>
      </c>
      <c r="AF94" s="66">
        <v>34.4</v>
      </c>
      <c r="AG94" s="66">
        <v>33.6</v>
      </c>
      <c r="AH94" s="66">
        <v>33.4</v>
      </c>
      <c r="AI94" s="66"/>
      <c r="AJ94" s="66"/>
      <c r="AK94" s="66"/>
      <c r="AL94" s="66"/>
      <c r="AM94" s="66"/>
      <c r="AN94" s="66"/>
      <c r="AO94" s="66"/>
      <c r="AP94" s="67">
        <f t="shared" si="6"/>
        <v>24</v>
      </c>
      <c r="AQ94" s="68">
        <f t="shared" si="7"/>
        <v>33.074999999999996</v>
      </c>
      <c r="AR94" s="68">
        <f>IFERROR(VLOOKUP(A94,Climatologia_TMAX!A:U,9+$E$2,FALSE),"")</f>
        <v>32.256992670952947</v>
      </c>
      <c r="AS94" s="68">
        <f t="shared" si="8"/>
        <v>0.81800732904704887</v>
      </c>
      <c r="AT94" s="74">
        <f t="shared" si="9"/>
        <v>35.6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94" s="69">
        <f t="shared" si="10"/>
        <v>-0.39999999999999858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31.849806451612899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30.973263029570418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36.1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38284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28</v>
      </c>
      <c r="L99" s="66">
        <v>22.4</v>
      </c>
      <c r="M99" s="66">
        <v>28</v>
      </c>
      <c r="N99" s="66">
        <v>29</v>
      </c>
      <c r="O99" s="66">
        <v>31.2</v>
      </c>
      <c r="P99" s="66">
        <v>30</v>
      </c>
      <c r="Q99" s="66">
        <v>28.2</v>
      </c>
      <c r="R99" s="66">
        <v>27.2</v>
      </c>
      <c r="S99" s="66">
        <v>30</v>
      </c>
      <c r="T99" s="66">
        <v>29</v>
      </c>
      <c r="U99" s="109">
        <v>27.4</v>
      </c>
      <c r="V99" s="66">
        <v>27.2</v>
      </c>
      <c r="W99" s="66">
        <v>30</v>
      </c>
      <c r="X99" s="66">
        <v>26.4</v>
      </c>
      <c r="Y99" s="66">
        <v>31.2</v>
      </c>
      <c r="Z99" s="66">
        <v>29.2</v>
      </c>
      <c r="AA99" s="66">
        <v>27</v>
      </c>
      <c r="AB99" s="66">
        <v>27</v>
      </c>
      <c r="AC99" s="66">
        <v>30</v>
      </c>
      <c r="AD99" s="66">
        <v>31</v>
      </c>
      <c r="AE99" s="66">
        <v>23.2</v>
      </c>
      <c r="AF99" s="66">
        <v>29.2</v>
      </c>
      <c r="AG99" s="66">
        <v>29.2</v>
      </c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23</v>
      </c>
      <c r="AQ99" s="68">
        <f t="shared" si="7"/>
        <v>28.304347826086957</v>
      </c>
      <c r="AR99" s="68">
        <f>IFERROR(VLOOKUP(A99,Climatologia_TMAX!A:U,9+$E$2,FALSE),"")</f>
        <v>26.12975922595686</v>
      </c>
      <c r="AS99" s="68">
        <f t="shared" si="8"/>
        <v>2.1745886001300967</v>
      </c>
      <c r="AT99" s="74">
        <f t="shared" si="9"/>
        <v>31.2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31.2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99" s="69">
        <f t="shared" si="10"/>
        <v>0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38.200000000000003</v>
      </c>
      <c r="L100" s="66">
        <v>38.4</v>
      </c>
      <c r="M100" s="66">
        <v>36.4</v>
      </c>
      <c r="N100" s="66">
        <v>36.6</v>
      </c>
      <c r="O100" s="66">
        <v>40.799999999999997</v>
      </c>
      <c r="P100" s="66">
        <v>37.200000000000003</v>
      </c>
      <c r="Q100" s="66">
        <v>35.4</v>
      </c>
      <c r="R100" s="66">
        <v>37.799999999999997</v>
      </c>
      <c r="S100" s="66">
        <v>34.799999999999997</v>
      </c>
      <c r="T100" s="66">
        <v>31.2</v>
      </c>
      <c r="U100" s="66">
        <v>38</v>
      </c>
      <c r="V100" s="66">
        <v>36.799999999999997</v>
      </c>
      <c r="W100" s="66">
        <v>31.2</v>
      </c>
      <c r="X100" s="66">
        <v>36.200000000000003</v>
      </c>
      <c r="Y100" s="66">
        <v>37.799999999999997</v>
      </c>
      <c r="Z100" s="107">
        <v>34.799999999999997</v>
      </c>
      <c r="AA100" s="66">
        <v>38.4</v>
      </c>
      <c r="AB100" s="66">
        <v>33.799999999999997</v>
      </c>
      <c r="AC100" s="66">
        <v>39.4</v>
      </c>
      <c r="AD100" s="66">
        <v>38.200000000000003</v>
      </c>
      <c r="AE100" s="66">
        <v>33.799999999999997</v>
      </c>
      <c r="AF100" s="109">
        <v>40.4</v>
      </c>
      <c r="AG100" s="66">
        <v>41</v>
      </c>
      <c r="AH100" s="66">
        <v>37.6</v>
      </c>
      <c r="AI100" s="66"/>
      <c r="AJ100" s="66"/>
      <c r="AK100" s="66"/>
      <c r="AL100" s="66"/>
      <c r="AM100" s="66"/>
      <c r="AN100" s="66"/>
      <c r="AO100" s="66"/>
      <c r="AP100" s="67">
        <f t="shared" si="6"/>
        <v>24</v>
      </c>
      <c r="AQ100" s="68">
        <f t="shared" si="7"/>
        <v>36.841666666666661</v>
      </c>
      <c r="AR100" s="68">
        <f>IFERROR(VLOOKUP(A100,Climatologia_TMAX!A:U,9+$E$2,FALSE),"")</f>
        <v>34.046032364428797</v>
      </c>
      <c r="AS100" s="68">
        <f t="shared" si="8"/>
        <v>2.7956343022378647</v>
      </c>
      <c r="AT100" s="74">
        <f t="shared" si="9"/>
        <v>41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42.6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0" s="69">
        <f t="shared" si="10"/>
        <v>-1.6000000000000014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31.700400856919199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29</v>
      </c>
      <c r="L102" s="66">
        <v>28.2</v>
      </c>
      <c r="M102" s="66">
        <v>29.6</v>
      </c>
      <c r="N102" s="66">
        <v>30.6</v>
      </c>
      <c r="O102" s="66">
        <v>33.200000000000003</v>
      </c>
      <c r="P102" s="66">
        <v>31.2</v>
      </c>
      <c r="Q102" s="66">
        <v>30</v>
      </c>
      <c r="R102" s="66">
        <v>27.6</v>
      </c>
      <c r="S102" s="66">
        <v>31.4</v>
      </c>
      <c r="T102" s="66">
        <v>28.2</v>
      </c>
      <c r="U102" s="66">
        <v>31.4</v>
      </c>
      <c r="V102" s="66">
        <v>32.799999999999997</v>
      </c>
      <c r="W102" s="66">
        <v>27.4</v>
      </c>
      <c r="X102" s="66">
        <v>28.8</v>
      </c>
      <c r="Y102" s="66">
        <v>33</v>
      </c>
      <c r="Z102" s="66">
        <v>30.4</v>
      </c>
      <c r="AA102" s="66">
        <v>28.8</v>
      </c>
      <c r="AB102" s="66">
        <v>28.2</v>
      </c>
      <c r="AC102" s="66">
        <v>31.4</v>
      </c>
      <c r="AD102" s="66">
        <v>31.4</v>
      </c>
      <c r="AE102" s="66">
        <v>28.2</v>
      </c>
      <c r="AF102" s="66">
        <v>30</v>
      </c>
      <c r="AG102" s="66">
        <v>32.6</v>
      </c>
      <c r="AH102" s="66">
        <v>29.6</v>
      </c>
      <c r="AI102" s="66"/>
      <c r="AJ102" s="66"/>
      <c r="AK102" s="66"/>
      <c r="AL102" s="66"/>
      <c r="AM102" s="66"/>
      <c r="AN102" s="66"/>
      <c r="AO102" s="66"/>
      <c r="AP102" s="67">
        <f t="shared" si="6"/>
        <v>24</v>
      </c>
      <c r="AQ102" s="68">
        <f t="shared" si="7"/>
        <v>30.125</v>
      </c>
      <c r="AR102" s="68">
        <f>IFERROR(VLOOKUP(A102,Climatologia_TMAX!A:U,9+$E$2,FALSE),"")</f>
        <v>27.475000000000001</v>
      </c>
      <c r="AS102" s="68">
        <f t="shared" si="8"/>
        <v>2.6499999999999986</v>
      </c>
      <c r="AT102" s="74">
        <f t="shared" si="9"/>
        <v>33.200000000000003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33.6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102" s="69">
        <f t="shared" si="10"/>
        <v>-0.39999999999999858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24.23607134255354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30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36.799999999999997</v>
      </c>
      <c r="L104" s="66">
        <v>35.6</v>
      </c>
      <c r="M104" s="66">
        <v>29.6</v>
      </c>
      <c r="N104" s="66">
        <v>36.799999999999997</v>
      </c>
      <c r="O104" s="66">
        <v>38.4</v>
      </c>
      <c r="P104" s="66">
        <v>39.200000000000003</v>
      </c>
      <c r="Q104" s="66">
        <v>38.4</v>
      </c>
      <c r="R104" s="66">
        <v>36.799999999999997</v>
      </c>
      <c r="S104" s="66">
        <v>37.200000000000003</v>
      </c>
      <c r="T104" s="66">
        <v>30.2</v>
      </c>
      <c r="U104" s="66">
        <v>38.4</v>
      </c>
      <c r="V104" s="66">
        <v>33.6</v>
      </c>
      <c r="W104" s="66">
        <v>31.2</v>
      </c>
      <c r="X104" s="66">
        <v>37.4</v>
      </c>
      <c r="Y104" s="66">
        <v>40.4</v>
      </c>
      <c r="Z104" s="66">
        <v>38.200000000000003</v>
      </c>
      <c r="AA104" s="66">
        <v>35.6</v>
      </c>
      <c r="AB104" s="66">
        <v>35.6</v>
      </c>
      <c r="AC104" s="66">
        <v>38.200000000000003</v>
      </c>
      <c r="AD104" s="66">
        <v>40.4</v>
      </c>
      <c r="AE104" s="66">
        <v>34.4</v>
      </c>
      <c r="AF104" s="66">
        <v>39.4</v>
      </c>
      <c r="AG104" s="66">
        <v>40.799999999999997</v>
      </c>
      <c r="AH104" s="66">
        <v>37.799999999999997</v>
      </c>
      <c r="AI104" s="66"/>
      <c r="AJ104" s="66"/>
      <c r="AK104" s="66"/>
      <c r="AL104" s="66"/>
      <c r="AM104" s="66"/>
      <c r="AN104" s="66"/>
      <c r="AO104" s="66"/>
      <c r="AP104" s="67">
        <f t="shared" si="6"/>
        <v>24</v>
      </c>
      <c r="AQ104" s="68">
        <f t="shared" si="7"/>
        <v>36.68333333333333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40.799999999999997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4" s="69">
        <f t="shared" si="10"/>
        <v>-0.60000000000000142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30.8</v>
      </c>
      <c r="L105" s="66">
        <v>24.2</v>
      </c>
      <c r="M105" s="66">
        <v>31.8</v>
      </c>
      <c r="N105" s="66">
        <v>32.799999999999997</v>
      </c>
      <c r="O105" s="66">
        <v>34.799999999999997</v>
      </c>
      <c r="P105" s="66">
        <v>34.200000000000003</v>
      </c>
      <c r="Q105" s="66">
        <v>34.4</v>
      </c>
      <c r="R105" s="66">
        <v>27.6</v>
      </c>
      <c r="S105" s="66">
        <v>33.4</v>
      </c>
      <c r="T105" s="66">
        <v>31.8</v>
      </c>
      <c r="U105" s="66">
        <v>31</v>
      </c>
      <c r="V105" s="66">
        <v>31.2</v>
      </c>
      <c r="W105" s="66">
        <v>34</v>
      </c>
      <c r="X105" s="66">
        <v>33.200000000000003</v>
      </c>
      <c r="Y105" s="66">
        <v>33.799999999999997</v>
      </c>
      <c r="Z105" s="66">
        <v>32.799999999999997</v>
      </c>
      <c r="AA105" s="66">
        <v>28.4</v>
      </c>
      <c r="AB105" s="66">
        <v>32.799999999999997</v>
      </c>
      <c r="AC105" s="66">
        <v>32.6</v>
      </c>
      <c r="AD105" s="66">
        <v>32.799999999999997</v>
      </c>
      <c r="AE105" s="66">
        <v>26.4</v>
      </c>
      <c r="AF105" s="66">
        <v>32</v>
      </c>
      <c r="AG105" s="66">
        <v>28</v>
      </c>
      <c r="AH105" s="66">
        <v>28.6</v>
      </c>
      <c r="AI105" s="66"/>
      <c r="AJ105" s="66"/>
      <c r="AK105" s="66"/>
      <c r="AL105" s="66"/>
      <c r="AM105" s="66"/>
      <c r="AN105" s="66"/>
      <c r="AO105" s="66"/>
      <c r="AP105" s="67">
        <f t="shared" si="6"/>
        <v>24</v>
      </c>
      <c r="AQ105" s="68">
        <f t="shared" si="7"/>
        <v>31.391666666666662</v>
      </c>
      <c r="AR105" s="68">
        <f>IFERROR(VLOOKUP(A105,Climatologia_TMAX!A:U,9+$E$2,FALSE),"")</f>
        <v>31.46119106137748</v>
      </c>
      <c r="AS105" s="68">
        <f t="shared" si="8"/>
        <v>-6.9524394710818171E-2</v>
      </c>
      <c r="AT105" s="74">
        <f t="shared" si="9"/>
        <v>34.799999999999997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05" s="69">
        <f t="shared" si="10"/>
        <v>-1.2000000000000028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26.6</v>
      </c>
      <c r="L106" s="66">
        <v>25.8</v>
      </c>
      <c r="M106" s="66">
        <v>26.2</v>
      </c>
      <c r="N106" s="66">
        <v>29</v>
      </c>
      <c r="O106" s="66">
        <v>28.8</v>
      </c>
      <c r="P106" s="66">
        <v>28</v>
      </c>
      <c r="Q106" s="66">
        <v>28.4</v>
      </c>
      <c r="R106" s="66">
        <v>27.4</v>
      </c>
      <c r="S106" s="66">
        <v>29</v>
      </c>
      <c r="T106" s="66">
        <v>24.4</v>
      </c>
      <c r="U106" s="66">
        <v>28.4</v>
      </c>
      <c r="V106" s="66">
        <v>27</v>
      </c>
      <c r="W106" s="66">
        <v>27.4</v>
      </c>
      <c r="X106" s="66">
        <v>27.4</v>
      </c>
      <c r="Y106" s="66">
        <v>29.6</v>
      </c>
      <c r="Z106" s="66">
        <v>27.6</v>
      </c>
      <c r="AA106" s="66">
        <v>27.4</v>
      </c>
      <c r="AB106" s="66">
        <v>28.4</v>
      </c>
      <c r="AC106" s="66">
        <v>28.2</v>
      </c>
      <c r="AD106" s="66">
        <v>28.8</v>
      </c>
      <c r="AE106" s="66">
        <v>27.6</v>
      </c>
      <c r="AF106" s="66">
        <v>29.2</v>
      </c>
      <c r="AG106" s="66">
        <v>29</v>
      </c>
      <c r="AH106" s="66">
        <v>27.4</v>
      </c>
      <c r="AI106" s="66"/>
      <c r="AJ106" s="66"/>
      <c r="AK106" s="66"/>
      <c r="AL106" s="66"/>
      <c r="AM106" s="66"/>
      <c r="AN106" s="66"/>
      <c r="AO106" s="66"/>
      <c r="AP106" s="67">
        <f t="shared" si="6"/>
        <v>24</v>
      </c>
      <c r="AQ106" s="68">
        <f t="shared" si="7"/>
        <v>27.791666666666668</v>
      </c>
      <c r="AR106" s="68">
        <f>IFERROR(VLOOKUP(A106,Climatologia_TMAX!A:U,9+$E$2,FALSE),"")</f>
        <v>25.6659761051374</v>
      </c>
      <c r="AS106" s="68">
        <f t="shared" si="8"/>
        <v>2.1256905615292681</v>
      </c>
      <c r="AT106" s="74">
        <f t="shared" si="9"/>
        <v>29.6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>
        <v>22</v>
      </c>
      <c r="L107" s="66">
        <v>19.2</v>
      </c>
      <c r="M107" s="66">
        <v>23</v>
      </c>
      <c r="N107" s="66">
        <v>23.4</v>
      </c>
      <c r="O107" s="66">
        <v>24.8</v>
      </c>
      <c r="P107" s="66">
        <v>22.8</v>
      </c>
      <c r="Q107" s="66">
        <v>22.8</v>
      </c>
      <c r="R107" s="66">
        <v>20.2</v>
      </c>
      <c r="S107" s="66">
        <v>23</v>
      </c>
      <c r="T107" s="66">
        <v>21.8</v>
      </c>
      <c r="U107" s="66">
        <v>20.2</v>
      </c>
      <c r="V107" s="66">
        <v>20.6</v>
      </c>
      <c r="W107" s="66">
        <v>22.6</v>
      </c>
      <c r="X107" s="66">
        <v>23</v>
      </c>
      <c r="Y107" s="66">
        <v>24.6</v>
      </c>
      <c r="Z107" s="66">
        <v>22</v>
      </c>
      <c r="AA107" s="66">
        <v>18.600000000000001</v>
      </c>
      <c r="AB107" s="66">
        <v>22</v>
      </c>
      <c r="AC107" s="66">
        <v>24.4</v>
      </c>
      <c r="AD107" s="66">
        <v>21.4</v>
      </c>
      <c r="AE107" s="66">
        <v>20.2</v>
      </c>
      <c r="AF107" s="66">
        <v>22.2</v>
      </c>
      <c r="AG107" s="66">
        <v>21.4</v>
      </c>
      <c r="AH107" s="66">
        <v>23.2</v>
      </c>
      <c r="AI107" s="66"/>
      <c r="AJ107" s="66"/>
      <c r="AK107" s="66"/>
      <c r="AL107" s="66"/>
      <c r="AM107" s="66"/>
      <c r="AN107" s="66"/>
      <c r="AO107" s="66"/>
      <c r="AP107" s="67">
        <f t="shared" si="6"/>
        <v>24</v>
      </c>
      <c r="AQ107" s="68">
        <f t="shared" si="7"/>
        <v>22.058333333333334</v>
      </c>
      <c r="AR107" s="68">
        <f>IFERROR(VLOOKUP(A107,Climatologia_TMAX!A:U,9+$E$2,FALSE),"")</f>
        <v>19.749019002595482</v>
      </c>
      <c r="AS107" s="68">
        <f t="shared" si="8"/>
        <v>2.3093143307378519</v>
      </c>
      <c r="AT107" s="74">
        <f t="shared" si="9"/>
        <v>24.8</v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25.4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107" s="69">
        <f t="shared" si="10"/>
        <v>-0.59999999999999787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33.799999999999997</v>
      </c>
      <c r="L108" s="66">
        <v>25.6</v>
      </c>
      <c r="M108" s="66">
        <v>31.8</v>
      </c>
      <c r="N108" s="66">
        <v>34.6</v>
      </c>
      <c r="O108" s="66">
        <v>35</v>
      </c>
      <c r="P108" s="66">
        <v>34.200000000000003</v>
      </c>
      <c r="Q108" s="66">
        <v>34.799999999999997</v>
      </c>
      <c r="R108" s="66">
        <v>29.2</v>
      </c>
      <c r="S108" s="66">
        <v>34.6</v>
      </c>
      <c r="T108" s="66">
        <v>32.6</v>
      </c>
      <c r="U108" s="66">
        <v>32.799999999999997</v>
      </c>
      <c r="V108" s="66">
        <v>31.8</v>
      </c>
      <c r="W108" s="66">
        <v>35.6</v>
      </c>
      <c r="X108" s="66">
        <v>35.799999999999997</v>
      </c>
      <c r="Y108" s="66">
        <v>34.799999999999997</v>
      </c>
      <c r="Z108" s="66">
        <v>35.200000000000003</v>
      </c>
      <c r="AA108" s="66">
        <v>29.8</v>
      </c>
      <c r="AB108" s="66">
        <v>34.200000000000003</v>
      </c>
      <c r="AC108" s="66">
        <v>33</v>
      </c>
      <c r="AD108" s="66">
        <v>32.799999999999997</v>
      </c>
      <c r="AE108" s="66">
        <v>26.8</v>
      </c>
      <c r="AF108" s="66">
        <v>33.200000000000003</v>
      </c>
      <c r="AG108" s="66">
        <v>29.6</v>
      </c>
      <c r="AH108" s="66">
        <v>30.2</v>
      </c>
      <c r="AI108" s="66"/>
      <c r="AJ108" s="66"/>
      <c r="AK108" s="66"/>
      <c r="AL108" s="66"/>
      <c r="AM108" s="66"/>
      <c r="AN108" s="66"/>
      <c r="AO108" s="66"/>
      <c r="AP108" s="67">
        <f t="shared" si="6"/>
        <v>24</v>
      </c>
      <c r="AQ108" s="68">
        <f t="shared" si="7"/>
        <v>32.57500000000001</v>
      </c>
      <c r="AR108" s="68">
        <f>IFERROR(VLOOKUP(A108,Climatologia_TMAX!A:U,9+$E$2,FALSE),"")</f>
        <v>31.76613503829833</v>
      </c>
      <c r="AS108" s="68">
        <f t="shared" si="8"/>
        <v>0.80886496170167987</v>
      </c>
      <c r="AT108" s="74">
        <f t="shared" si="9"/>
        <v>35.799999999999997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38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08" s="69">
        <f t="shared" si="10"/>
        <v>-2.2000000000000028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27.2</v>
      </c>
      <c r="L109" s="66">
        <v>23</v>
      </c>
      <c r="M109" s="66">
        <v>28.8</v>
      </c>
      <c r="N109" s="66">
        <v>29</v>
      </c>
      <c r="O109" s="66">
        <v>31.8</v>
      </c>
      <c r="P109" s="66">
        <v>29.8</v>
      </c>
      <c r="Q109" s="66">
        <v>28.8</v>
      </c>
      <c r="R109" s="66">
        <v>25</v>
      </c>
      <c r="S109" s="66">
        <v>30</v>
      </c>
      <c r="T109" s="66">
        <v>28</v>
      </c>
      <c r="U109" s="66">
        <v>28.6</v>
      </c>
      <c r="V109" s="66">
        <v>28.4</v>
      </c>
      <c r="W109" s="66">
        <v>29.2</v>
      </c>
      <c r="X109" s="66">
        <v>28.2</v>
      </c>
      <c r="Y109" s="66">
        <v>32</v>
      </c>
      <c r="Z109" s="66">
        <v>29.2</v>
      </c>
      <c r="AA109" s="66">
        <v>26.2</v>
      </c>
      <c r="AB109" s="66">
        <v>27.4</v>
      </c>
      <c r="AC109" s="66">
        <v>31.2</v>
      </c>
      <c r="AD109" s="66">
        <v>29.2</v>
      </c>
      <c r="AE109" s="66">
        <v>26.2</v>
      </c>
      <c r="AF109" s="66">
        <v>28.8</v>
      </c>
      <c r="AG109" s="66">
        <v>29</v>
      </c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23</v>
      </c>
      <c r="AQ109" s="68">
        <f t="shared" si="7"/>
        <v>28.478260869565219</v>
      </c>
      <c r="AR109" s="68">
        <f>IFERROR(VLOOKUP(A109,Climatologia_TMAX!A:U,9+$E$2,FALSE),"")</f>
        <v>26.358900836320181</v>
      </c>
      <c r="AS109" s="68">
        <f t="shared" si="8"/>
        <v>2.1193600332450373</v>
      </c>
      <c r="AT109" s="74">
        <f t="shared" si="9"/>
        <v>32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32.200000000000003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09" s="69">
        <f t="shared" si="10"/>
        <v>-0.20000000000000284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33.161277345198371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38.200000000000003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43398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33.4</v>
      </c>
      <c r="L111" s="66"/>
      <c r="M111" s="66"/>
      <c r="N111" s="66">
        <v>33.200000000000003</v>
      </c>
      <c r="O111" s="66">
        <v>36.4</v>
      </c>
      <c r="P111" s="66">
        <v>34.4</v>
      </c>
      <c r="Q111" s="66">
        <v>34.6</v>
      </c>
      <c r="R111" s="66">
        <v>34</v>
      </c>
      <c r="S111" s="66">
        <v>35.6</v>
      </c>
      <c r="T111" s="66">
        <v>35</v>
      </c>
      <c r="U111" s="66">
        <v>35.4</v>
      </c>
      <c r="V111" s="66">
        <v>35.4</v>
      </c>
      <c r="W111" s="66">
        <v>31.6</v>
      </c>
      <c r="X111" s="66">
        <v>32.6</v>
      </c>
      <c r="Y111" s="66">
        <v>36.4</v>
      </c>
      <c r="Z111" s="66">
        <v>36.6</v>
      </c>
      <c r="AA111" s="109">
        <v>34.799999999999997</v>
      </c>
      <c r="AB111" s="66">
        <v>32.799999999999997</v>
      </c>
      <c r="AC111" s="66">
        <v>35.4</v>
      </c>
      <c r="AD111" s="66">
        <v>35.4</v>
      </c>
      <c r="AE111" s="66">
        <v>34.4</v>
      </c>
      <c r="AF111" s="66">
        <v>34.200000000000003</v>
      </c>
      <c r="AG111" s="66">
        <v>36.4</v>
      </c>
      <c r="AH111" s="66">
        <v>33.799999999999997</v>
      </c>
      <c r="AI111" s="66"/>
      <c r="AJ111" s="66"/>
      <c r="AK111" s="66"/>
      <c r="AL111" s="66"/>
      <c r="AM111" s="66"/>
      <c r="AN111" s="66"/>
      <c r="AO111" s="66"/>
      <c r="AP111" s="67">
        <f t="shared" si="6"/>
        <v>22</v>
      </c>
      <c r="AQ111" s="68">
        <f t="shared" si="7"/>
        <v>34.627272727272718</v>
      </c>
      <c r="AR111" s="68">
        <f>IFERROR(VLOOKUP(A111,Climatologia_TMAX!A:U,9+$E$2,FALSE),"")</f>
        <v>33.225226632766557</v>
      </c>
      <c r="AS111" s="68">
        <f t="shared" si="8"/>
        <v>1.4020460945061615</v>
      </c>
      <c r="AT111" s="74">
        <f t="shared" si="9"/>
        <v>36.6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39.6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32803</v>
      </c>
      <c r="AW111" s="69">
        <f t="shared" si="10"/>
        <v>-3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</v>
      </c>
      <c r="L112" s="66">
        <v>32</v>
      </c>
      <c r="M112" s="66">
        <v>33.6</v>
      </c>
      <c r="N112" s="66">
        <v>34</v>
      </c>
      <c r="O112" s="66">
        <v>35.4</v>
      </c>
      <c r="P112" s="66">
        <v>34.4</v>
      </c>
      <c r="Q112" s="66">
        <v>34.200000000000003</v>
      </c>
      <c r="R112" s="66">
        <v>36.200000000000003</v>
      </c>
      <c r="S112" s="66">
        <v>34.4</v>
      </c>
      <c r="T112" s="66">
        <v>35.200000000000003</v>
      </c>
      <c r="U112" s="66">
        <v>36.200000000000003</v>
      </c>
      <c r="V112" s="66">
        <v>35.6</v>
      </c>
      <c r="W112" s="66">
        <v>28.4</v>
      </c>
      <c r="X112" s="66">
        <v>32.6</v>
      </c>
      <c r="Y112" s="66">
        <v>33.6</v>
      </c>
      <c r="Z112" s="66">
        <v>36.200000000000003</v>
      </c>
      <c r="AA112" s="66">
        <v>32.799999999999997</v>
      </c>
      <c r="AB112" s="66">
        <v>33.799999999999997</v>
      </c>
      <c r="AC112" s="66">
        <v>34.6</v>
      </c>
      <c r="AD112" s="66">
        <v>34.4</v>
      </c>
      <c r="AE112" s="66">
        <v>30</v>
      </c>
      <c r="AF112" s="66">
        <v>33.6</v>
      </c>
      <c r="AG112" s="66">
        <v>35.200000000000003</v>
      </c>
      <c r="AH112" s="66">
        <v>34.6</v>
      </c>
      <c r="AI112" s="66"/>
      <c r="AJ112" s="66"/>
      <c r="AK112" s="66"/>
      <c r="AL112" s="66"/>
      <c r="AM112" s="66"/>
      <c r="AN112" s="66"/>
      <c r="AO112" s="66"/>
      <c r="AP112" s="67">
        <f t="shared" si="6"/>
        <v>24</v>
      </c>
      <c r="AQ112" s="68">
        <f t="shared" si="7"/>
        <v>34.041666666666664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36.200000000000003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38.799999999999997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12" s="69">
        <f t="shared" si="10"/>
        <v>-2.5999999999999943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33.124514448152269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38.700000000000003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34.200000000000003</v>
      </c>
      <c r="L114" s="66"/>
      <c r="M114" s="66"/>
      <c r="N114" s="66">
        <v>34.799999999999997</v>
      </c>
      <c r="O114" s="66">
        <v>35</v>
      </c>
      <c r="P114" s="66">
        <v>32.799999999999997</v>
      </c>
      <c r="Q114" s="66">
        <v>35</v>
      </c>
      <c r="R114" s="112">
        <v>34.4</v>
      </c>
      <c r="S114" s="66">
        <v>35.200000000000003</v>
      </c>
      <c r="T114" s="66">
        <v>31.8</v>
      </c>
      <c r="U114" s="66">
        <v>35.4</v>
      </c>
      <c r="V114" s="66">
        <v>31.6</v>
      </c>
      <c r="W114" s="66">
        <v>30</v>
      </c>
      <c r="X114" s="66">
        <v>33.6</v>
      </c>
      <c r="Y114" s="66">
        <v>33.6</v>
      </c>
      <c r="Z114" s="66">
        <v>35.200000000000003</v>
      </c>
      <c r="AA114" s="66">
        <v>30.4</v>
      </c>
      <c r="AB114" s="66">
        <v>30.2</v>
      </c>
      <c r="AC114" s="66">
        <v>33.200000000000003</v>
      </c>
      <c r="AD114" s="66">
        <v>33</v>
      </c>
      <c r="AE114" s="66">
        <v>31</v>
      </c>
      <c r="AF114" s="66">
        <v>34.4</v>
      </c>
      <c r="AG114" s="66">
        <v>34.4</v>
      </c>
      <c r="AH114" s="66">
        <v>29.8</v>
      </c>
      <c r="AI114" s="66"/>
      <c r="AJ114" s="66"/>
      <c r="AK114" s="66"/>
      <c r="AL114" s="66"/>
      <c r="AM114" s="66"/>
      <c r="AN114" s="66"/>
      <c r="AO114" s="66"/>
      <c r="AP114" s="67">
        <f t="shared" si="6"/>
        <v>22</v>
      </c>
      <c r="AQ114" s="68">
        <f t="shared" si="7"/>
        <v>33.136363636363633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35.4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37.200000000000003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35733</v>
      </c>
      <c r="AW114" s="69">
        <f t="shared" si="10"/>
        <v>-1.8000000000000043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/>
      <c r="L115" s="66">
        <v>38.200000000000003</v>
      </c>
      <c r="M115" s="66">
        <v>37.200000000000003</v>
      </c>
      <c r="N115" s="66">
        <v>37.200000000000003</v>
      </c>
      <c r="O115" s="66">
        <v>38</v>
      </c>
      <c r="P115" s="66">
        <v>36</v>
      </c>
      <c r="Q115" s="66">
        <v>33.6</v>
      </c>
      <c r="R115" s="66">
        <v>36</v>
      </c>
      <c r="S115" s="66">
        <v>36.799999999999997</v>
      </c>
      <c r="T115" s="66">
        <v>37.200000000000003</v>
      </c>
      <c r="U115" s="66">
        <v>37</v>
      </c>
      <c r="V115" s="66">
        <v>36.799999999999997</v>
      </c>
      <c r="W115" s="66">
        <v>30.4</v>
      </c>
      <c r="X115" s="66">
        <v>34.799999999999997</v>
      </c>
      <c r="Y115" s="66">
        <v>37.6</v>
      </c>
      <c r="Z115" s="66">
        <v>38</v>
      </c>
      <c r="AA115" s="66">
        <v>37.799999999999997</v>
      </c>
      <c r="AB115" s="66">
        <v>33.799999999999997</v>
      </c>
      <c r="AC115" s="66">
        <v>37.799999999999997</v>
      </c>
      <c r="AD115" s="66">
        <v>37.6</v>
      </c>
      <c r="AE115" s="66">
        <v>34</v>
      </c>
      <c r="AF115" s="66">
        <v>34.6</v>
      </c>
      <c r="AG115" s="66">
        <v>37.4</v>
      </c>
      <c r="AH115" s="66">
        <v>33.200000000000003</v>
      </c>
      <c r="AI115" s="66"/>
      <c r="AJ115" s="66"/>
      <c r="AK115" s="66"/>
      <c r="AL115" s="66"/>
      <c r="AM115" s="66"/>
      <c r="AN115" s="66"/>
      <c r="AO115" s="66"/>
      <c r="AP115" s="67">
        <f t="shared" si="6"/>
        <v>23</v>
      </c>
      <c r="AQ115" s="68">
        <f t="shared" si="7"/>
        <v>36.130434782608695</v>
      </c>
      <c r="AR115" s="68">
        <f>IFERROR(VLOOKUP(A115,Climatologia_TMAX!A:U,9+$E$2,FALSE),"")</f>
        <v>33.872222148065752</v>
      </c>
      <c r="AS115" s="68">
        <f t="shared" si="8"/>
        <v>2.258212634542943</v>
      </c>
      <c r="AT115" s="74">
        <f t="shared" si="9"/>
        <v>38.200000000000003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39.799999999999997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15" s="69">
        <f t="shared" si="10"/>
        <v>-1.5999999999999943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36.799999999999997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42663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32.670952188091228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40469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34.6</v>
      </c>
      <c r="L118" s="66">
        <v>35.4</v>
      </c>
      <c r="M118" s="66">
        <v>33.4</v>
      </c>
      <c r="N118" s="66">
        <v>33.799999999999997</v>
      </c>
      <c r="O118" s="66">
        <v>36.200000000000003</v>
      </c>
      <c r="P118" s="66">
        <v>34.6</v>
      </c>
      <c r="Q118" s="66">
        <v>35</v>
      </c>
      <c r="R118" s="66">
        <v>32.6</v>
      </c>
      <c r="S118" s="66">
        <v>34.200000000000003</v>
      </c>
      <c r="T118" s="66">
        <v>34.4</v>
      </c>
      <c r="U118" s="66">
        <v>33.6</v>
      </c>
      <c r="V118" s="66">
        <v>33.4</v>
      </c>
      <c r="W118" s="66">
        <v>31.6</v>
      </c>
      <c r="X118" s="66">
        <v>31.2</v>
      </c>
      <c r="Y118" s="66">
        <v>34.4</v>
      </c>
      <c r="Z118" s="66">
        <v>35</v>
      </c>
      <c r="AA118" s="66">
        <v>33.6</v>
      </c>
      <c r="AB118" s="66">
        <v>33.4</v>
      </c>
      <c r="AC118" s="66">
        <v>34</v>
      </c>
      <c r="AD118" s="66">
        <v>34.799999999999997</v>
      </c>
      <c r="AE118" s="66">
        <v>29</v>
      </c>
      <c r="AF118" s="66">
        <v>34.799999999999997</v>
      </c>
      <c r="AG118" s="66">
        <v>35.799999999999997</v>
      </c>
      <c r="AH118" s="66">
        <v>33</v>
      </c>
      <c r="AI118" s="66"/>
      <c r="AJ118" s="66"/>
      <c r="AK118" s="66"/>
      <c r="AL118" s="66"/>
      <c r="AM118" s="66"/>
      <c r="AN118" s="66"/>
      <c r="AO118" s="66"/>
      <c r="AP118" s="67">
        <f t="shared" si="6"/>
        <v>24</v>
      </c>
      <c r="AQ118" s="68">
        <f t="shared" si="7"/>
        <v>33.824999999999989</v>
      </c>
      <c r="AR118" s="68">
        <f>IFERROR(VLOOKUP(A118,Climatologia_TMAX!A:U,9+$E$2,FALSE),"")</f>
        <v>32.347748461253239</v>
      </c>
      <c r="AS118" s="68">
        <f t="shared" si="8"/>
        <v>1.4772515387467493</v>
      </c>
      <c r="AT118" s="74">
        <f t="shared" si="9"/>
        <v>36.200000000000003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38.4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35348</v>
      </c>
      <c r="AW118" s="69">
        <f t="shared" si="10"/>
        <v>-2.1999999999999957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</v>
      </c>
      <c r="L119" s="66">
        <v>34.799999999999997</v>
      </c>
      <c r="M119" s="66">
        <v>31.2</v>
      </c>
      <c r="N119" s="66">
        <v>33.799999999999997</v>
      </c>
      <c r="O119" s="66">
        <v>36.200000000000003</v>
      </c>
      <c r="P119" s="66">
        <v>33.6</v>
      </c>
      <c r="Q119" s="66">
        <v>33.200000000000003</v>
      </c>
      <c r="R119" s="66">
        <v>34.200000000000003</v>
      </c>
      <c r="S119" s="66">
        <v>34.6</v>
      </c>
      <c r="T119" s="66">
        <v>35.200000000000003</v>
      </c>
      <c r="U119" s="66">
        <v>35.4</v>
      </c>
      <c r="V119" s="66">
        <v>32.799999999999997</v>
      </c>
      <c r="W119" s="66">
        <v>32</v>
      </c>
      <c r="X119" s="66">
        <v>35.200000000000003</v>
      </c>
      <c r="Y119" s="66">
        <v>37.4</v>
      </c>
      <c r="Z119" s="66">
        <v>37.6</v>
      </c>
      <c r="AA119" s="66">
        <v>33.4</v>
      </c>
      <c r="AB119" s="66">
        <v>34.200000000000003</v>
      </c>
      <c r="AC119" s="66">
        <v>34.4</v>
      </c>
      <c r="AD119" s="66">
        <v>35</v>
      </c>
      <c r="AE119" s="66">
        <v>31</v>
      </c>
      <c r="AF119" s="66">
        <v>33.6</v>
      </c>
      <c r="AG119" s="66">
        <v>36.200000000000003</v>
      </c>
      <c r="AH119" s="66">
        <v>31.6</v>
      </c>
      <c r="AI119" s="66"/>
      <c r="AJ119" s="66"/>
      <c r="AK119" s="66"/>
      <c r="AL119" s="66"/>
      <c r="AM119" s="66"/>
      <c r="AN119" s="66"/>
      <c r="AO119" s="66"/>
      <c r="AP119" s="67">
        <f t="shared" si="6"/>
        <v>24</v>
      </c>
      <c r="AQ119" s="68">
        <f t="shared" si="7"/>
        <v>34.19166666666667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37.6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39.799999999999997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44119</v>
      </c>
      <c r="AW119" s="69">
        <f t="shared" si="10"/>
        <v>-2.1999999999999957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</v>
      </c>
      <c r="L120" s="66">
        <v>34.6</v>
      </c>
      <c r="M120" s="66">
        <v>30</v>
      </c>
      <c r="N120" s="66">
        <v>34.200000000000003</v>
      </c>
      <c r="O120" s="66">
        <v>35.799999999999997</v>
      </c>
      <c r="P120" s="66">
        <v>33.6</v>
      </c>
      <c r="Q120" s="66">
        <v>35</v>
      </c>
      <c r="R120" s="66">
        <v>35</v>
      </c>
      <c r="S120" s="66">
        <v>34.799999999999997</v>
      </c>
      <c r="T120" s="66">
        <v>31.4</v>
      </c>
      <c r="U120" s="66">
        <v>31.8</v>
      </c>
      <c r="V120" s="66">
        <v>34</v>
      </c>
      <c r="W120" s="66">
        <v>33</v>
      </c>
      <c r="X120" s="66">
        <v>33.799999999999997</v>
      </c>
      <c r="Y120" s="66"/>
      <c r="Z120" s="66">
        <v>35.200000000000003</v>
      </c>
      <c r="AA120" s="66">
        <v>28.8</v>
      </c>
      <c r="AB120" s="66">
        <v>30.4</v>
      </c>
      <c r="AC120" s="66">
        <v>33.4</v>
      </c>
      <c r="AD120" s="66">
        <v>33.200000000000003</v>
      </c>
      <c r="AE120" s="66">
        <v>30.8</v>
      </c>
      <c r="AF120" s="66">
        <v>33.4</v>
      </c>
      <c r="AG120" s="66">
        <v>33.4</v>
      </c>
      <c r="AH120" s="66">
        <v>29.4</v>
      </c>
      <c r="AI120" s="66"/>
      <c r="AJ120" s="66"/>
      <c r="AK120" s="66"/>
      <c r="AL120" s="66"/>
      <c r="AM120" s="66"/>
      <c r="AN120" s="66"/>
      <c r="AO120" s="66"/>
      <c r="AP120" s="67">
        <f t="shared" si="6"/>
        <v>23</v>
      </c>
      <c r="AQ120" s="68">
        <f t="shared" si="7"/>
        <v>32.999999999999993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35.799999999999997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37.4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20" s="69">
        <f t="shared" si="10"/>
        <v>-1.6000000000000014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21.342004720344551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25.8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45589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29.2</v>
      </c>
      <c r="L122" s="66">
        <v>26.4</v>
      </c>
      <c r="M122" s="66">
        <v>27.2</v>
      </c>
      <c r="N122" s="66">
        <v>30.2</v>
      </c>
      <c r="O122" s="66">
        <v>29.4</v>
      </c>
      <c r="P122" s="66">
        <v>27.6</v>
      </c>
      <c r="Q122" s="66">
        <v>28.4</v>
      </c>
      <c r="R122" s="66">
        <v>27.8</v>
      </c>
      <c r="S122" s="66">
        <v>28.8</v>
      </c>
      <c r="T122" s="66">
        <v>26.2</v>
      </c>
      <c r="U122" s="66">
        <v>29.2</v>
      </c>
      <c r="V122" s="66">
        <v>27</v>
      </c>
      <c r="W122" s="66">
        <v>25.4</v>
      </c>
      <c r="X122" s="66">
        <v>27.8</v>
      </c>
      <c r="Y122" s="66">
        <v>30.4</v>
      </c>
      <c r="Z122" s="66">
        <v>26.8</v>
      </c>
      <c r="AA122" s="66">
        <v>28</v>
      </c>
      <c r="AB122" s="66">
        <v>27.6</v>
      </c>
      <c r="AC122" s="66">
        <v>27.8</v>
      </c>
      <c r="AD122" s="66">
        <v>30.4</v>
      </c>
      <c r="AE122" s="66">
        <v>26.4</v>
      </c>
      <c r="AF122" s="66">
        <v>30</v>
      </c>
      <c r="AG122" s="66">
        <v>31.2</v>
      </c>
      <c r="AH122" s="66">
        <v>26.4</v>
      </c>
      <c r="AI122" s="66"/>
      <c r="AJ122" s="66"/>
      <c r="AK122" s="66"/>
      <c r="AL122" s="66"/>
      <c r="AM122" s="66"/>
      <c r="AN122" s="66"/>
      <c r="AO122" s="66"/>
      <c r="AP122" s="67">
        <f t="shared" si="6"/>
        <v>24</v>
      </c>
      <c r="AQ122" s="68">
        <f t="shared" si="7"/>
        <v>28.150000000000002</v>
      </c>
      <c r="AR122" s="68">
        <f>IFERROR(VLOOKUP(A122,Climatologia_TMAX!A:U,9+$E$2,FALSE),"")</f>
        <v>27.10387096774193</v>
      </c>
      <c r="AS122" s="68">
        <f t="shared" si="8"/>
        <v>1.0461290322580723</v>
      </c>
      <c r="AT122" s="74">
        <f t="shared" si="9"/>
        <v>31.2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31.8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36079</v>
      </c>
      <c r="AW122" s="69">
        <f t="shared" si="10"/>
        <v>-0.60000000000000142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29.6</v>
      </c>
      <c r="M123" s="66">
        <v>32</v>
      </c>
      <c r="N123" s="66">
        <v>31</v>
      </c>
      <c r="O123" s="66">
        <v>33.4</v>
      </c>
      <c r="P123" s="66">
        <v>33.6</v>
      </c>
      <c r="Q123" s="66">
        <v>29.8</v>
      </c>
      <c r="R123" s="66">
        <v>32.6</v>
      </c>
      <c r="S123" s="66">
        <v>33.4</v>
      </c>
      <c r="T123" s="66">
        <v>31</v>
      </c>
      <c r="U123" s="66"/>
      <c r="V123" s="66"/>
      <c r="W123" s="66">
        <v>33.200000000000003</v>
      </c>
      <c r="X123" s="66">
        <v>33.6</v>
      </c>
      <c r="Y123" s="66">
        <v>34.4</v>
      </c>
      <c r="Z123" s="66">
        <v>33.4</v>
      </c>
      <c r="AA123" s="66">
        <v>29.4</v>
      </c>
      <c r="AB123" s="66">
        <v>31</v>
      </c>
      <c r="AC123" s="66">
        <v>32.799999999999997</v>
      </c>
      <c r="AD123" s="66">
        <v>31.6</v>
      </c>
      <c r="AE123" s="66"/>
      <c r="AF123" s="66">
        <v>33.6</v>
      </c>
      <c r="AG123" s="66">
        <v>32.799999999999997</v>
      </c>
      <c r="AH123" s="66">
        <v>32.799999999999997</v>
      </c>
      <c r="AI123" s="66"/>
      <c r="AJ123" s="66"/>
      <c r="AK123" s="66"/>
      <c r="AL123" s="66"/>
      <c r="AM123" s="66"/>
      <c r="AN123" s="66"/>
      <c r="AO123" s="66"/>
      <c r="AP123" s="67">
        <f t="shared" si="6"/>
        <v>21</v>
      </c>
      <c r="AQ123" s="68">
        <f t="shared" si="7"/>
        <v>32.266666666666666</v>
      </c>
      <c r="AR123" s="68">
        <f>IFERROR(VLOOKUP(A123,Climatologia_TMAX!A:U,9+$E$2,FALSE),"")</f>
        <v>31.008190582128289</v>
      </c>
      <c r="AS123" s="68">
        <f t="shared" si="8"/>
        <v>1.2584760845383762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45577</v>
      </c>
      <c r="AW123" s="69">
        <f t="shared" si="10"/>
        <v>-1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32</v>
      </c>
      <c r="L124" s="66">
        <v>30</v>
      </c>
      <c r="M124" s="66">
        <v>32.799999999999997</v>
      </c>
      <c r="N124" s="66">
        <v>32.6</v>
      </c>
      <c r="O124" s="66">
        <v>34.200000000000003</v>
      </c>
      <c r="P124" s="66">
        <v>34.4</v>
      </c>
      <c r="Q124" s="66">
        <v>30</v>
      </c>
      <c r="R124" s="66">
        <v>33</v>
      </c>
      <c r="S124" s="66">
        <v>34.200000000000003</v>
      </c>
      <c r="T124" s="66">
        <v>34</v>
      </c>
      <c r="U124" s="66">
        <v>33.4</v>
      </c>
      <c r="V124" s="66">
        <v>30.4</v>
      </c>
      <c r="W124" s="66">
        <v>34.799999999999997</v>
      </c>
      <c r="X124" s="66">
        <v>34.4</v>
      </c>
      <c r="Y124" s="66">
        <v>34.200000000000003</v>
      </c>
      <c r="Z124" s="66">
        <v>33.799999999999997</v>
      </c>
      <c r="AA124" s="66">
        <v>30.2</v>
      </c>
      <c r="AB124" s="66">
        <v>32</v>
      </c>
      <c r="AC124" s="66">
        <v>34.200000000000003</v>
      </c>
      <c r="AD124" s="66">
        <v>32.4</v>
      </c>
      <c r="AE124" s="66">
        <v>30.4</v>
      </c>
      <c r="AF124" s="66">
        <v>33.799999999999997</v>
      </c>
      <c r="AG124" s="66">
        <v>33.6</v>
      </c>
      <c r="AH124" s="66">
        <v>33.200000000000003</v>
      </c>
      <c r="AI124" s="66"/>
      <c r="AJ124" s="66"/>
      <c r="AK124" s="66"/>
      <c r="AL124" s="66"/>
      <c r="AM124" s="66"/>
      <c r="AN124" s="66"/>
      <c r="AO124" s="66"/>
      <c r="AP124" s="67">
        <f t="shared" si="6"/>
        <v>24</v>
      </c>
      <c r="AQ124" s="68">
        <f t="shared" si="7"/>
        <v>32.833333333333336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34.799999999999997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38.6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38635</v>
      </c>
      <c r="AW124" s="69">
        <f t="shared" si="10"/>
        <v>-3.8000000000000043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28.6</v>
      </c>
      <c r="L127" s="66">
        <v>25.2</v>
      </c>
      <c r="M127" s="66">
        <v>25.2</v>
      </c>
      <c r="N127" s="66">
        <v>28</v>
      </c>
      <c r="O127" s="66">
        <v>29.6</v>
      </c>
      <c r="P127" s="66">
        <v>27</v>
      </c>
      <c r="Q127" s="66">
        <v>25.6</v>
      </c>
      <c r="R127" s="66">
        <v>27.2</v>
      </c>
      <c r="S127" s="66">
        <v>24</v>
      </c>
      <c r="T127" s="66">
        <v>22</v>
      </c>
      <c r="U127" s="66">
        <v>27.6</v>
      </c>
      <c r="V127" s="66">
        <v>21.2</v>
      </c>
      <c r="W127" s="66">
        <v>20</v>
      </c>
      <c r="X127" s="66">
        <v>26.8</v>
      </c>
      <c r="Y127" s="66">
        <v>29.6</v>
      </c>
      <c r="Z127" s="66">
        <v>26</v>
      </c>
      <c r="AA127" s="66">
        <v>22.2</v>
      </c>
      <c r="AB127" s="66">
        <v>23</v>
      </c>
      <c r="AC127" s="66">
        <v>26.6</v>
      </c>
      <c r="AD127" s="66">
        <v>27.6</v>
      </c>
      <c r="AE127" s="66">
        <v>26.4</v>
      </c>
      <c r="AF127" s="66">
        <v>27</v>
      </c>
      <c r="AG127" s="66">
        <v>26.2</v>
      </c>
      <c r="AH127" s="66">
        <v>23.2</v>
      </c>
      <c r="AI127" s="66"/>
      <c r="AJ127" s="66"/>
      <c r="AK127" s="66"/>
      <c r="AL127" s="66"/>
      <c r="AM127" s="66"/>
      <c r="AN127" s="66"/>
      <c r="AO127" s="66"/>
      <c r="AP127" s="67">
        <f t="shared" si="6"/>
        <v>24</v>
      </c>
      <c r="AQ127" s="68">
        <f t="shared" si="7"/>
        <v>25.658333333333335</v>
      </c>
      <c r="AR127" s="68">
        <f>IFERROR(VLOOKUP(A127,Climatologia_TMAX!A:U,9+$E$2,FALSE),"")</f>
        <v>23.50285964206472</v>
      </c>
      <c r="AS127" s="68">
        <f t="shared" si="8"/>
        <v>2.1554736912686145</v>
      </c>
      <c r="AT127" s="74">
        <f t="shared" si="9"/>
        <v>29.6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7" s="69">
        <f t="shared" si="10"/>
        <v>0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23</v>
      </c>
      <c r="L128" s="66">
        <v>24.6</v>
      </c>
      <c r="M128" s="66">
        <v>21.6</v>
      </c>
      <c r="N128" s="66">
        <v>22</v>
      </c>
      <c r="O128" s="66">
        <v>21</v>
      </c>
      <c r="P128" s="66">
        <v>20.8</v>
      </c>
      <c r="Q128" s="66">
        <v>22.4</v>
      </c>
      <c r="R128" s="66">
        <v>21.2</v>
      </c>
      <c r="S128" s="66">
        <v>22.2</v>
      </c>
      <c r="T128" s="66">
        <v>18.8</v>
      </c>
      <c r="U128" s="66">
        <v>21.8</v>
      </c>
      <c r="V128" s="66">
        <v>18.399999999999999</v>
      </c>
      <c r="W128" s="112">
        <v>15.2</v>
      </c>
      <c r="X128" s="66">
        <v>18.399999999999999</v>
      </c>
      <c r="Y128" s="66">
        <v>17.600000000000001</v>
      </c>
      <c r="Z128" s="66"/>
      <c r="AA128" s="66">
        <v>21.4</v>
      </c>
      <c r="AB128" s="66">
        <v>19</v>
      </c>
      <c r="AC128" s="66">
        <v>22.6</v>
      </c>
      <c r="AD128" s="66">
        <v>22</v>
      </c>
      <c r="AE128" s="66">
        <v>20.2</v>
      </c>
      <c r="AF128" s="66">
        <v>23</v>
      </c>
      <c r="AG128" s="66">
        <v>25</v>
      </c>
      <c r="AH128" s="66">
        <v>21.8</v>
      </c>
      <c r="AI128" s="66"/>
      <c r="AJ128" s="66"/>
      <c r="AK128" s="66"/>
      <c r="AL128" s="66"/>
      <c r="AM128" s="66"/>
      <c r="AN128" s="66"/>
      <c r="AO128" s="66"/>
      <c r="AP128" s="67">
        <f t="shared" si="6"/>
        <v>23</v>
      </c>
      <c r="AQ128" s="68">
        <f t="shared" si="7"/>
        <v>21.043478260869566</v>
      </c>
      <c r="AR128" s="68">
        <f>IFERROR(VLOOKUP(A128,Climatologia_TMAX!A:U,9+$E$2,FALSE),"")</f>
        <v>19.301716634983411</v>
      </c>
      <c r="AS128" s="68">
        <f t="shared" si="8"/>
        <v>1.7417616258861557</v>
      </c>
      <c r="AT128" s="74">
        <f t="shared" si="9"/>
        <v>25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24.4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28" s="69">
        <f t="shared" si="10"/>
        <v>0.60000000000000142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29</v>
      </c>
      <c r="L129" s="66">
        <v>29</v>
      </c>
      <c r="M129" s="66">
        <v>27.4</v>
      </c>
      <c r="N129" s="66">
        <v>28.4</v>
      </c>
      <c r="O129" s="66">
        <v>30.2</v>
      </c>
      <c r="P129" s="66">
        <v>27.6</v>
      </c>
      <c r="Q129" s="66">
        <v>28.2</v>
      </c>
      <c r="R129" s="66">
        <v>29.4</v>
      </c>
      <c r="S129" s="66">
        <v>29.8</v>
      </c>
      <c r="T129" s="66">
        <v>26.6</v>
      </c>
      <c r="U129" s="66">
        <v>28</v>
      </c>
      <c r="V129" s="66">
        <v>24.6</v>
      </c>
      <c r="W129" s="66">
        <v>29.8</v>
      </c>
      <c r="X129" s="66">
        <v>29.8</v>
      </c>
      <c r="Y129" s="66">
        <v>29</v>
      </c>
      <c r="Z129" s="66">
        <v>28.8</v>
      </c>
      <c r="AA129" s="66"/>
      <c r="AB129" s="66">
        <v>26.8</v>
      </c>
      <c r="AC129" s="66">
        <v>28.2</v>
      </c>
      <c r="AD129" s="66">
        <v>27.8</v>
      </c>
      <c r="AE129" s="66">
        <v>22.8</v>
      </c>
      <c r="AF129" s="66"/>
      <c r="AG129" s="66"/>
      <c r="AH129" s="66">
        <v>26.8</v>
      </c>
      <c r="AI129" s="66"/>
      <c r="AJ129" s="66"/>
      <c r="AK129" s="66"/>
      <c r="AL129" s="66"/>
      <c r="AM129" s="66"/>
      <c r="AN129" s="66"/>
      <c r="AO129" s="66"/>
      <c r="AP129" s="67">
        <f t="shared" si="6"/>
        <v>21</v>
      </c>
      <c r="AQ129" s="68">
        <f t="shared" si="7"/>
        <v>28</v>
      </c>
      <c r="AR129" s="68">
        <f>IFERROR(VLOOKUP(A129,Climatologia_TMAX!A:U,9+$E$2,FALSE),"")</f>
        <v>26.47612810776095</v>
      </c>
      <c r="AS129" s="68">
        <f t="shared" si="8"/>
        <v>1.5238718922390504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9" s="69">
        <f t="shared" si="10"/>
        <v>-1.1999999999999993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32.49860476759401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/>
      <c r="N131" s="66"/>
      <c r="O131" s="66"/>
      <c r="P131" s="66"/>
      <c r="Q131" s="66"/>
      <c r="R131" s="66"/>
      <c r="S131" s="66">
        <v>20.399999999999999</v>
      </c>
      <c r="T131" s="66"/>
      <c r="U131" s="66">
        <v>21.2</v>
      </c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2</v>
      </c>
      <c r="AQ131" s="68" t="str">
        <f t="shared" si="7"/>
        <v/>
      </c>
      <c r="AR131" s="68">
        <f>IFERROR(VLOOKUP(A131,Climatologia_TMAX!A:U,9+$E$2,FALSE),"")</f>
        <v>20.533467741935489</v>
      </c>
      <c r="AS131" s="68" t="str">
        <f t="shared" si="8"/>
        <v/>
      </c>
      <c r="AT131" s="74">
        <f t="shared" si="9"/>
        <v>21.2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>
        <v>21.6</v>
      </c>
      <c r="AC132" s="66">
        <v>23.8</v>
      </c>
      <c r="AD132" s="66">
        <v>26</v>
      </c>
      <c r="AE132" s="66">
        <v>23</v>
      </c>
      <c r="AF132" s="66">
        <v>23.4</v>
      </c>
      <c r="AG132" s="66">
        <v>22.8</v>
      </c>
      <c r="AH132" s="66">
        <v>22.2</v>
      </c>
      <c r="AI132" s="66"/>
      <c r="AJ132" s="66"/>
      <c r="AK132" s="66"/>
      <c r="AL132" s="66"/>
      <c r="AM132" s="66"/>
      <c r="AN132" s="66"/>
      <c r="AO132" s="66"/>
      <c r="AP132" s="67">
        <f t="shared" si="6"/>
        <v>7</v>
      </c>
      <c r="AQ132" s="68" t="str">
        <f t="shared" si="7"/>
        <v/>
      </c>
      <c r="AR132" s="68">
        <f>IFERROR(VLOOKUP(A132,Climatologia_TMAX!A:U,9+$E$2,FALSE),"")</f>
        <v>21.575504552836041</v>
      </c>
      <c r="AS132" s="68" t="str">
        <f t="shared" si="8"/>
        <v/>
      </c>
      <c r="AT132" s="74">
        <f t="shared" si="9"/>
        <v>26</v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34980</v>
      </c>
      <c r="AW132" s="69">
        <f t="shared" si="10"/>
        <v>0.39999999999999858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21</v>
      </c>
      <c r="L133" s="66">
        <v>18.2</v>
      </c>
      <c r="M133" s="66">
        <v>19.600000000000001</v>
      </c>
      <c r="N133" s="66">
        <v>20.8</v>
      </c>
      <c r="O133" s="66">
        <v>21.4</v>
      </c>
      <c r="P133" s="66"/>
      <c r="Q133" s="66">
        <v>22.4</v>
      </c>
      <c r="R133" s="66">
        <v>20.399999999999999</v>
      </c>
      <c r="S133" s="66">
        <v>21.2</v>
      </c>
      <c r="T133" s="66">
        <v>20</v>
      </c>
      <c r="U133" s="66"/>
      <c r="V133" s="66">
        <v>21.4</v>
      </c>
      <c r="W133" s="66">
        <v>18</v>
      </c>
      <c r="X133" s="66">
        <v>21</v>
      </c>
      <c r="Y133" s="66">
        <v>22.2</v>
      </c>
      <c r="Z133" s="66">
        <v>20.2</v>
      </c>
      <c r="AA133" s="66">
        <v>20.6</v>
      </c>
      <c r="AB133" s="66">
        <v>19</v>
      </c>
      <c r="AC133" s="66">
        <v>19.399999999999999</v>
      </c>
      <c r="AD133" s="66">
        <v>22</v>
      </c>
      <c r="AE133" s="66">
        <v>21.2</v>
      </c>
      <c r="AF133" s="66">
        <v>22.4</v>
      </c>
      <c r="AG133" s="66">
        <v>20.2</v>
      </c>
      <c r="AH133" s="66">
        <v>19.2</v>
      </c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22</v>
      </c>
      <c r="AQ133" s="68">
        <f t="shared" ref="AQ133:AQ196" si="12">IF(AP133&gt;14,AVERAGE(K133:AO133),"")</f>
        <v>20.536363636363635</v>
      </c>
      <c r="AR133" s="68">
        <f>IFERROR(VLOOKUP(A133,Climatologia_TMAX!A:U,9+$E$2,FALSE),"")</f>
        <v>17.187530713792</v>
      </c>
      <c r="AS133" s="68">
        <f t="shared" ref="AS133:AS196" si="13">IF(OR(AQ133="",AR133=""),"",IFERROR(AQ133-AR133,""))</f>
        <v>3.3488329225716349</v>
      </c>
      <c r="AT133" s="74">
        <f t="shared" ref="AT133:AT196" si="14">IF(COUNT(K133:AO133)=0,"",MAX(K133:AO133))</f>
        <v>22.4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23.4</v>
      </c>
      <c r="L135" s="66">
        <v>21.8</v>
      </c>
      <c r="M135" s="66">
        <v>23.6</v>
      </c>
      <c r="N135" s="66">
        <v>23.5</v>
      </c>
      <c r="O135" s="66">
        <v>25</v>
      </c>
      <c r="P135" s="66">
        <v>25.2</v>
      </c>
      <c r="Q135" s="66">
        <v>22.8</v>
      </c>
      <c r="R135" s="66">
        <v>22.4</v>
      </c>
      <c r="S135" s="66">
        <v>23</v>
      </c>
      <c r="T135" s="66">
        <v>22.8</v>
      </c>
      <c r="U135" s="66">
        <v>25.6</v>
      </c>
      <c r="V135" s="66">
        <v>23.6</v>
      </c>
      <c r="W135" s="66">
        <v>23.6</v>
      </c>
      <c r="X135" s="66">
        <v>22.8</v>
      </c>
      <c r="Y135" s="66">
        <v>23</v>
      </c>
      <c r="Z135" s="66">
        <v>23.4</v>
      </c>
      <c r="AA135" s="66">
        <v>23.6</v>
      </c>
      <c r="AB135" s="66">
        <v>24.2</v>
      </c>
      <c r="AC135" s="66">
        <v>24</v>
      </c>
      <c r="AD135" s="66">
        <v>23</v>
      </c>
      <c r="AE135" s="66">
        <v>23.4</v>
      </c>
      <c r="AF135" s="66">
        <v>23.8</v>
      </c>
      <c r="AG135" s="66">
        <v>23.5</v>
      </c>
      <c r="AH135" s="66">
        <v>24.2</v>
      </c>
      <c r="AI135" s="66"/>
      <c r="AJ135" s="66"/>
      <c r="AK135" s="66"/>
      <c r="AL135" s="66"/>
      <c r="AM135" s="66"/>
      <c r="AN135" s="66"/>
      <c r="AO135" s="66"/>
      <c r="AP135" s="67">
        <f t="shared" si="11"/>
        <v>24</v>
      </c>
      <c r="AQ135" s="68">
        <f t="shared" si="12"/>
        <v>23.55</v>
      </c>
      <c r="AR135" s="68">
        <f>IFERROR(VLOOKUP(A135,Climatologia_TMAX!A:U,9+$E$2,FALSE),"")</f>
        <v>24.002986857825569</v>
      </c>
      <c r="AS135" s="68">
        <f t="shared" si="13"/>
        <v>-0.45298685782556802</v>
      </c>
      <c r="AT135" s="74">
        <f t="shared" si="14"/>
        <v>25.6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28.6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35345</v>
      </c>
      <c r="AW135" s="69">
        <f t="shared" si="15"/>
        <v>-3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23.8</v>
      </c>
      <c r="L138" s="66">
        <v>20</v>
      </c>
      <c r="M138" s="66">
        <v>21</v>
      </c>
      <c r="N138" s="66">
        <v>23</v>
      </c>
      <c r="O138" s="66">
        <v>23.6</v>
      </c>
      <c r="P138" s="66">
        <v>21</v>
      </c>
      <c r="Q138" s="66">
        <v>20.2</v>
      </c>
      <c r="R138" s="112">
        <v>21</v>
      </c>
      <c r="S138" s="66">
        <v>20.399999999999999</v>
      </c>
      <c r="T138" s="66">
        <v>18.399999999999999</v>
      </c>
      <c r="U138" s="66">
        <v>22.6</v>
      </c>
      <c r="V138" s="116">
        <v>16</v>
      </c>
      <c r="W138" s="66">
        <v>15.2</v>
      </c>
      <c r="X138" s="66">
        <v>21</v>
      </c>
      <c r="Y138" s="66">
        <v>24.1</v>
      </c>
      <c r="Z138" s="66">
        <v>21</v>
      </c>
      <c r="AA138" s="66">
        <v>20.8</v>
      </c>
      <c r="AB138" s="66">
        <v>19.8</v>
      </c>
      <c r="AC138" s="66">
        <v>22</v>
      </c>
      <c r="AD138" s="66">
        <v>21.8</v>
      </c>
      <c r="AE138" s="66">
        <v>20.6</v>
      </c>
      <c r="AF138" s="66">
        <v>21</v>
      </c>
      <c r="AG138" s="66">
        <v>21.8</v>
      </c>
      <c r="AH138" s="66">
        <v>22</v>
      </c>
      <c r="AI138" s="66"/>
      <c r="AJ138" s="66"/>
      <c r="AK138" s="66"/>
      <c r="AL138" s="66"/>
      <c r="AM138" s="66"/>
      <c r="AN138" s="66"/>
      <c r="AO138" s="66"/>
      <c r="AP138" s="67">
        <f t="shared" si="11"/>
        <v>24</v>
      </c>
      <c r="AQ138" s="68">
        <f t="shared" si="12"/>
        <v>20.920833333333338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24.1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24.2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41199</v>
      </c>
      <c r="AW138" s="69">
        <f t="shared" si="15"/>
        <v>-9.9999999999997868E-2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23.8</v>
      </c>
      <c r="L139" s="66">
        <v>20</v>
      </c>
      <c r="M139" s="66">
        <v>22.6</v>
      </c>
      <c r="N139" s="66">
        <v>23.6</v>
      </c>
      <c r="O139" s="66">
        <v>24</v>
      </c>
      <c r="P139" s="66">
        <v>22.8</v>
      </c>
      <c r="Q139" s="66">
        <v>22.8</v>
      </c>
      <c r="R139" s="66">
        <v>23</v>
      </c>
      <c r="S139" s="66">
        <v>25</v>
      </c>
      <c r="T139" s="66">
        <v>22.2</v>
      </c>
      <c r="U139" s="66">
        <v>23.4</v>
      </c>
      <c r="V139" s="66">
        <v>20.6</v>
      </c>
      <c r="W139" s="66">
        <v>24.8</v>
      </c>
      <c r="X139" s="66">
        <v>24</v>
      </c>
      <c r="Y139" s="66">
        <v>24</v>
      </c>
      <c r="Z139" s="66">
        <v>23.2</v>
      </c>
      <c r="AA139" s="66">
        <v>23</v>
      </c>
      <c r="AB139" s="66">
        <v>21.6</v>
      </c>
      <c r="AC139" s="66"/>
      <c r="AD139" s="66"/>
      <c r="AE139" s="66">
        <v>21.2</v>
      </c>
      <c r="AF139" s="66">
        <v>24.8</v>
      </c>
      <c r="AG139" s="66">
        <v>25.4</v>
      </c>
      <c r="AH139" s="66">
        <v>20.2</v>
      </c>
      <c r="AI139" s="66"/>
      <c r="AJ139" s="66"/>
      <c r="AK139" s="66"/>
      <c r="AL139" s="66"/>
      <c r="AM139" s="66"/>
      <c r="AN139" s="66"/>
      <c r="AO139" s="66"/>
      <c r="AP139" s="67">
        <f t="shared" si="11"/>
        <v>22</v>
      </c>
      <c r="AQ139" s="68">
        <f t="shared" si="12"/>
        <v>23</v>
      </c>
      <c r="AR139" s="68">
        <f>IFERROR(VLOOKUP(A139,Climatologia_TMAX!A:U,9+$E$2,FALSE),"")</f>
        <v>22.410933280987589</v>
      </c>
      <c r="AS139" s="68">
        <f t="shared" si="13"/>
        <v>0.58906671901241126</v>
      </c>
      <c r="AT139" s="74">
        <f t="shared" si="14"/>
        <v>25.4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29.4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39723</v>
      </c>
      <c r="AW139" s="69">
        <f t="shared" si="15"/>
        <v>-4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21.714389205721421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40099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22.6</v>
      </c>
      <c r="L141" s="66">
        <v>18.399999999999999</v>
      </c>
      <c r="M141" s="66">
        <v>18.8</v>
      </c>
      <c r="N141" s="66">
        <v>20.399999999999999</v>
      </c>
      <c r="O141" s="66">
        <v>23.6</v>
      </c>
      <c r="P141" s="66">
        <v>22.4</v>
      </c>
      <c r="Q141" s="66">
        <v>18</v>
      </c>
      <c r="R141" s="66">
        <v>18.8</v>
      </c>
      <c r="S141" s="66">
        <v>20.8</v>
      </c>
      <c r="T141" s="66">
        <v>18</v>
      </c>
      <c r="U141" s="66">
        <v>20</v>
      </c>
      <c r="V141" s="66">
        <v>18</v>
      </c>
      <c r="W141" s="66">
        <v>18.399999999999999</v>
      </c>
      <c r="X141" s="66">
        <v>20.8</v>
      </c>
      <c r="Y141" s="66">
        <v>22.2</v>
      </c>
      <c r="Z141" s="66">
        <v>19.600000000000001</v>
      </c>
      <c r="AA141" s="66">
        <v>19.2</v>
      </c>
      <c r="AB141" s="66">
        <v>18.2</v>
      </c>
      <c r="AC141" s="66">
        <v>19.8</v>
      </c>
      <c r="AD141" s="66">
        <v>21.2</v>
      </c>
      <c r="AE141" s="66">
        <v>19</v>
      </c>
      <c r="AF141" s="66">
        <v>20</v>
      </c>
      <c r="AG141" s="66">
        <v>20</v>
      </c>
      <c r="AH141" s="66">
        <v>18.600000000000001</v>
      </c>
      <c r="AI141" s="66"/>
      <c r="AJ141" s="66"/>
      <c r="AK141" s="66"/>
      <c r="AL141" s="66"/>
      <c r="AM141" s="66"/>
      <c r="AN141" s="66"/>
      <c r="AO141" s="66"/>
      <c r="AP141" s="67">
        <f t="shared" si="11"/>
        <v>24</v>
      </c>
      <c r="AQ141" s="68">
        <f t="shared" si="12"/>
        <v>19.866666666666667</v>
      </c>
      <c r="AR141" s="68">
        <f>IFERROR(VLOOKUP(A141,Climatologia_TMAX!A:U,9+$E$2,FALSE),"")</f>
        <v>18.953763440860211</v>
      </c>
      <c r="AS141" s="68">
        <f t="shared" si="13"/>
        <v>0.91290322580645622</v>
      </c>
      <c r="AT141" s="74">
        <f t="shared" si="14"/>
        <v>23.6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24.8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39371</v>
      </c>
      <c r="AW141" s="69">
        <f t="shared" si="15"/>
        <v>-1.1999999999999993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22.4</v>
      </c>
      <c r="L142" s="66">
        <v>18.2</v>
      </c>
      <c r="M142" s="66">
        <v>19.399999999999999</v>
      </c>
      <c r="N142" s="66">
        <v>21.2</v>
      </c>
      <c r="O142" s="66">
        <v>22.4</v>
      </c>
      <c r="P142" s="66">
        <v>22</v>
      </c>
      <c r="Q142" s="66">
        <v>20.8</v>
      </c>
      <c r="R142" s="66">
        <v>20</v>
      </c>
      <c r="S142" s="66">
        <v>22</v>
      </c>
      <c r="T142" s="66">
        <v>20</v>
      </c>
      <c r="U142" s="66">
        <v>21</v>
      </c>
      <c r="V142" s="66">
        <v>16.399999999999999</v>
      </c>
      <c r="W142" s="66">
        <v>20.8</v>
      </c>
      <c r="X142" s="66">
        <v>22.6</v>
      </c>
      <c r="Y142" s="66">
        <v>22.4</v>
      </c>
      <c r="Z142" s="66">
        <v>21.6</v>
      </c>
      <c r="AA142" s="66">
        <v>21.8</v>
      </c>
      <c r="AB142" s="66">
        <v>17.399999999999999</v>
      </c>
      <c r="AC142" s="66">
        <v>21.2</v>
      </c>
      <c r="AD142" s="66">
        <v>20.8</v>
      </c>
      <c r="AE142" s="66">
        <v>19.399999999999999</v>
      </c>
      <c r="AF142" s="66">
        <v>21.8</v>
      </c>
      <c r="AG142" s="66">
        <v>20</v>
      </c>
      <c r="AH142" s="66">
        <v>17.600000000000001</v>
      </c>
      <c r="AI142" s="66"/>
      <c r="AJ142" s="66"/>
      <c r="AK142" s="66"/>
      <c r="AL142" s="66"/>
      <c r="AM142" s="66"/>
      <c r="AN142" s="66"/>
      <c r="AO142" s="66"/>
      <c r="AP142" s="67">
        <f t="shared" si="11"/>
        <v>24</v>
      </c>
      <c r="AQ142" s="68">
        <f t="shared" si="12"/>
        <v>20.55</v>
      </c>
      <c r="AR142" s="68">
        <f>IFERROR(VLOOKUP(A142,Climatologia_TMAX!A:U,9+$E$2,FALSE),"")</f>
        <v>19.709141522326391</v>
      </c>
      <c r="AS142" s="68">
        <f t="shared" si="13"/>
        <v>0.84085847767360988</v>
      </c>
      <c r="AT142" s="74">
        <f t="shared" si="14"/>
        <v>22.6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24.6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142" s="69">
        <f t="shared" si="15"/>
        <v>-2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35.6</v>
      </c>
      <c r="L143" s="66"/>
      <c r="M143" s="66">
        <v>33.200000000000003</v>
      </c>
      <c r="N143" s="66">
        <v>35</v>
      </c>
      <c r="O143" s="66">
        <v>31</v>
      </c>
      <c r="P143" s="66">
        <v>30</v>
      </c>
      <c r="Q143" s="66"/>
      <c r="R143" s="66"/>
      <c r="S143" s="66"/>
      <c r="T143" s="66"/>
      <c r="U143" s="66"/>
      <c r="V143" s="66"/>
      <c r="W143" s="66">
        <v>34.200000000000003</v>
      </c>
      <c r="X143" s="66">
        <v>35</v>
      </c>
      <c r="Y143" s="66">
        <v>34</v>
      </c>
      <c r="Z143" s="66"/>
      <c r="AA143" s="66"/>
      <c r="AB143" s="66">
        <v>31.6</v>
      </c>
      <c r="AC143" s="66">
        <v>33.200000000000003</v>
      </c>
      <c r="AD143" s="66">
        <v>34</v>
      </c>
      <c r="AE143" s="66">
        <v>34</v>
      </c>
      <c r="AF143" s="66"/>
      <c r="AG143" s="66">
        <v>34.200000000000003</v>
      </c>
      <c r="AH143" s="66">
        <v>33.200000000000003</v>
      </c>
      <c r="AI143" s="66"/>
      <c r="AJ143" s="66"/>
      <c r="AK143" s="66"/>
      <c r="AL143" s="66"/>
      <c r="AM143" s="66"/>
      <c r="AN143" s="66"/>
      <c r="AO143" s="66"/>
      <c r="AP143" s="67">
        <f t="shared" si="11"/>
        <v>14</v>
      </c>
      <c r="AQ143" s="68" t="str">
        <f t="shared" si="12"/>
        <v/>
      </c>
      <c r="AR143" s="68">
        <f>IFERROR(VLOOKUP(A143,Climatologia_TMAX!A:U,9+$E$2,FALSE),"")</f>
        <v>31.894814814814811</v>
      </c>
      <c r="AS143" s="68" t="str">
        <f t="shared" si="13"/>
        <v/>
      </c>
      <c r="AT143" s="74">
        <f t="shared" si="14"/>
        <v>35.6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43" s="69">
        <f t="shared" si="15"/>
        <v>0.80000000000000426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29144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23.4</v>
      </c>
      <c r="M145" s="66">
        <v>24</v>
      </c>
      <c r="N145" s="66">
        <v>21.2</v>
      </c>
      <c r="O145" s="66">
        <v>19.2</v>
      </c>
      <c r="P145" s="66">
        <v>25.2</v>
      </c>
      <c r="Q145" s="66">
        <v>20.399999999999999</v>
      </c>
      <c r="R145" s="66">
        <v>25.4</v>
      </c>
      <c r="S145" s="66">
        <v>20.399999999999999</v>
      </c>
      <c r="T145" s="66">
        <v>23</v>
      </c>
      <c r="U145" s="66">
        <v>23.2</v>
      </c>
      <c r="V145" s="66">
        <v>21.4</v>
      </c>
      <c r="W145" s="66">
        <v>21.2</v>
      </c>
      <c r="X145" s="66">
        <v>21.2</v>
      </c>
      <c r="Y145" s="66">
        <v>24.6</v>
      </c>
      <c r="Z145" s="66">
        <v>20.399999999999999</v>
      </c>
      <c r="AA145" s="66">
        <v>22.2</v>
      </c>
      <c r="AB145" s="66">
        <v>21.2</v>
      </c>
      <c r="AC145" s="66">
        <v>20.2</v>
      </c>
      <c r="AD145" s="66">
        <v>24.4</v>
      </c>
      <c r="AE145" s="66">
        <v>24.4</v>
      </c>
      <c r="AF145" s="66">
        <v>25.4</v>
      </c>
      <c r="AG145" s="66">
        <v>23.8</v>
      </c>
      <c r="AH145" s="66">
        <v>21.4</v>
      </c>
      <c r="AI145" s="66"/>
      <c r="AJ145" s="66"/>
      <c r="AK145" s="66"/>
      <c r="AL145" s="66"/>
      <c r="AM145" s="66"/>
      <c r="AN145" s="66"/>
      <c r="AO145" s="66"/>
      <c r="AP145" s="67">
        <f t="shared" si="11"/>
        <v>24</v>
      </c>
      <c r="AQ145" s="68">
        <f t="shared" si="12"/>
        <v>22.483333333333324</v>
      </c>
      <c r="AR145" s="68">
        <f>IFERROR(VLOOKUP(A145,Climatologia_TMAX!A:U,9+$E$2,FALSE),"")</f>
        <v>21.095906298003069</v>
      </c>
      <c r="AS145" s="68">
        <f t="shared" si="13"/>
        <v>1.3874270353302549</v>
      </c>
      <c r="AT145" s="74">
        <f t="shared" si="14"/>
        <v>25.4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25.8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145" s="69">
        <f t="shared" si="15"/>
        <v>-0.40000000000000213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23.8</v>
      </c>
      <c r="L146" s="66">
        <v>22.2</v>
      </c>
      <c r="M146" s="66"/>
      <c r="N146" s="66">
        <v>23.2</v>
      </c>
      <c r="O146" s="66">
        <v>26.4</v>
      </c>
      <c r="P146" s="66">
        <v>25</v>
      </c>
      <c r="Q146" s="66">
        <v>20</v>
      </c>
      <c r="R146" s="66">
        <v>21.8</v>
      </c>
      <c r="S146" s="66">
        <v>23.2</v>
      </c>
      <c r="T146" s="66"/>
      <c r="U146" s="66"/>
      <c r="V146" s="66"/>
      <c r="W146" s="66">
        <v>22.4</v>
      </c>
      <c r="X146" s="66">
        <v>22.4</v>
      </c>
      <c r="Y146" s="66">
        <v>25.6</v>
      </c>
      <c r="Z146" s="66">
        <v>23</v>
      </c>
      <c r="AA146" s="66">
        <v>22.2</v>
      </c>
      <c r="AB146" s="66">
        <v>21</v>
      </c>
      <c r="AC146" s="66">
        <v>23.6</v>
      </c>
      <c r="AD146" s="66">
        <v>23.2</v>
      </c>
      <c r="AE146" s="66">
        <v>20.2</v>
      </c>
      <c r="AF146" s="66">
        <v>23.4</v>
      </c>
      <c r="AG146" s="66">
        <v>22.6</v>
      </c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19</v>
      </c>
      <c r="AQ146" s="68">
        <f t="shared" si="12"/>
        <v>22.905263157894737</v>
      </c>
      <c r="AR146" s="68">
        <f>IFERROR(VLOOKUP(A146,Climatologia_TMAX!A:U,9+$E$2,FALSE),"")</f>
        <v>21.688279684503559</v>
      </c>
      <c r="AS146" s="68">
        <f t="shared" si="13"/>
        <v>1.2169834733911777</v>
      </c>
      <c r="AT146" s="74">
        <f t="shared" si="14"/>
        <v>26.4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46" s="69">
        <f t="shared" si="15"/>
        <v>0.39999999999999858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26.4</v>
      </c>
      <c r="L147" s="66">
        <v>21</v>
      </c>
      <c r="M147" s="66">
        <v>22.6</v>
      </c>
      <c r="N147" s="66">
        <v>25.2</v>
      </c>
      <c r="O147" s="66">
        <v>25.2</v>
      </c>
      <c r="P147" s="66">
        <v>24.8</v>
      </c>
      <c r="Q147" s="66">
        <v>22.2</v>
      </c>
      <c r="R147" s="66">
        <v>24</v>
      </c>
      <c r="S147" s="66">
        <v>24.2</v>
      </c>
      <c r="T147" s="66">
        <v>22</v>
      </c>
      <c r="U147" s="66">
        <v>22.4</v>
      </c>
      <c r="V147" s="66">
        <v>19.399999999999999</v>
      </c>
      <c r="W147" s="66">
        <v>24.4</v>
      </c>
      <c r="X147" s="66">
        <v>25</v>
      </c>
      <c r="Y147" s="66">
        <v>25.6</v>
      </c>
      <c r="Z147" s="66">
        <v>25.4</v>
      </c>
      <c r="AA147" s="66">
        <v>24.4</v>
      </c>
      <c r="AB147" s="66">
        <v>21.8</v>
      </c>
      <c r="AC147" s="66"/>
      <c r="AD147" s="66">
        <v>24</v>
      </c>
      <c r="AE147" s="66">
        <v>21</v>
      </c>
      <c r="AF147" s="66">
        <v>23</v>
      </c>
      <c r="AG147" s="66">
        <v>25</v>
      </c>
      <c r="AH147" s="66">
        <v>19.8</v>
      </c>
      <c r="AI147" s="66"/>
      <c r="AJ147" s="66"/>
      <c r="AK147" s="66"/>
      <c r="AL147" s="66"/>
      <c r="AM147" s="66"/>
      <c r="AN147" s="66"/>
      <c r="AO147" s="66"/>
      <c r="AP147" s="67">
        <f t="shared" si="11"/>
        <v>23</v>
      </c>
      <c r="AQ147" s="68">
        <f t="shared" si="12"/>
        <v>23.426086956521736</v>
      </c>
      <c r="AR147" s="68">
        <f>IFERROR(VLOOKUP(A147,Climatologia_TMAX!A:U,9+$E$2,FALSE),"")</f>
        <v>23.700333704115678</v>
      </c>
      <c r="AS147" s="68">
        <f t="shared" si="13"/>
        <v>-0.27424674759394208</v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27.6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40831</v>
      </c>
      <c r="AW147" s="69">
        <f t="shared" si="15"/>
        <v>-1.2000000000000028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26.2</v>
      </c>
      <c r="M148" s="66">
        <v>28.2</v>
      </c>
      <c r="N148" s="66">
        <v>26.2</v>
      </c>
      <c r="O148" s="66">
        <v>26.4</v>
      </c>
      <c r="P148" s="66">
        <v>27.2</v>
      </c>
      <c r="Q148" s="66">
        <v>29.2</v>
      </c>
      <c r="R148" s="66">
        <v>27.2</v>
      </c>
      <c r="S148" s="66">
        <v>26.4</v>
      </c>
      <c r="T148" s="66">
        <v>26.2</v>
      </c>
      <c r="U148" s="66"/>
      <c r="V148" s="66">
        <v>25.2</v>
      </c>
      <c r="W148" s="66">
        <v>26.2</v>
      </c>
      <c r="X148" s="66">
        <v>27.2</v>
      </c>
      <c r="Y148" s="66">
        <v>26.2</v>
      </c>
      <c r="Z148" s="66">
        <v>27.2</v>
      </c>
      <c r="AA148" s="66">
        <v>26.2</v>
      </c>
      <c r="AB148" s="66">
        <v>27.2</v>
      </c>
      <c r="AC148" s="66">
        <v>25.4</v>
      </c>
      <c r="AD148" s="66">
        <v>27.4</v>
      </c>
      <c r="AE148" s="66">
        <v>26.2</v>
      </c>
      <c r="AF148" s="66">
        <v>27.2</v>
      </c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21</v>
      </c>
      <c r="AQ148" s="68">
        <f t="shared" si="12"/>
        <v>26.714285714285708</v>
      </c>
      <c r="AR148" s="68">
        <f>IFERROR(VLOOKUP(A148,Climatologia_TMAX!A:U,9+$E$2,FALSE),"")</f>
        <v>26.287220368310471</v>
      </c>
      <c r="AS148" s="68">
        <f t="shared" si="13"/>
        <v>0.42706534597523671</v>
      </c>
      <c r="AT148" s="74">
        <f t="shared" si="14"/>
        <v>29.2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42664</v>
      </c>
      <c r="AW148" s="69">
        <f t="shared" si="15"/>
        <v>-1.4000000000000021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33.582480533926592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30.510252543978901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37.6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40091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35.799999999999997</v>
      </c>
      <c r="L151" s="66">
        <v>35.6</v>
      </c>
      <c r="M151" s="66">
        <v>34.6</v>
      </c>
      <c r="N151" s="66">
        <v>35.200000000000003</v>
      </c>
      <c r="O151" s="66">
        <v>34.799999999999997</v>
      </c>
      <c r="P151" s="66">
        <v>35</v>
      </c>
      <c r="Q151" s="66">
        <v>36.6</v>
      </c>
      <c r="R151" s="66">
        <v>34.200000000000003</v>
      </c>
      <c r="S151" s="66">
        <v>34</v>
      </c>
      <c r="T151" s="66">
        <v>35</v>
      </c>
      <c r="U151" s="66">
        <v>35</v>
      </c>
      <c r="V151" s="66">
        <v>35</v>
      </c>
      <c r="W151" s="66"/>
      <c r="X151" s="66"/>
      <c r="Y151" s="66">
        <v>36</v>
      </c>
      <c r="Z151" s="66">
        <v>36</v>
      </c>
      <c r="AA151" s="66">
        <v>28.4</v>
      </c>
      <c r="AB151" s="66">
        <v>33</v>
      </c>
      <c r="AC151" s="66">
        <v>34.799999999999997</v>
      </c>
      <c r="AD151" s="66">
        <v>33</v>
      </c>
      <c r="AE151" s="66">
        <v>32.4</v>
      </c>
      <c r="AF151" s="66">
        <v>34.6</v>
      </c>
      <c r="AG151" s="66">
        <v>35</v>
      </c>
      <c r="AH151" s="66">
        <v>33</v>
      </c>
      <c r="AI151" s="66"/>
      <c r="AJ151" s="66"/>
      <c r="AK151" s="66"/>
      <c r="AL151" s="66"/>
      <c r="AM151" s="66"/>
      <c r="AN151" s="66"/>
      <c r="AO151" s="66"/>
      <c r="AP151" s="67">
        <f t="shared" si="11"/>
        <v>22</v>
      </c>
      <c r="AQ151" s="68">
        <f t="shared" si="12"/>
        <v>34.409090909090907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36.6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21.716293093808339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23.2</v>
      </c>
      <c r="L153" s="66">
        <v>19.2</v>
      </c>
      <c r="M153" s="66">
        <v>19.8</v>
      </c>
      <c r="N153" s="66">
        <v>22.2</v>
      </c>
      <c r="O153" s="66">
        <v>24.4</v>
      </c>
      <c r="P153" s="66">
        <v>24.2</v>
      </c>
      <c r="Q153" s="66">
        <v>21.6</v>
      </c>
      <c r="R153" s="66">
        <v>22.6</v>
      </c>
      <c r="S153" s="66">
        <v>22.4</v>
      </c>
      <c r="T153" s="109">
        <v>20.6</v>
      </c>
      <c r="U153" s="66">
        <v>22.2</v>
      </c>
      <c r="V153" s="66">
        <v>21</v>
      </c>
      <c r="W153" s="66">
        <v>22.2</v>
      </c>
      <c r="X153" s="66">
        <v>23.6</v>
      </c>
      <c r="Y153" s="66">
        <v>23.6</v>
      </c>
      <c r="Z153" s="66">
        <v>22.2</v>
      </c>
      <c r="AA153" s="66">
        <v>23</v>
      </c>
      <c r="AB153" s="66">
        <v>22</v>
      </c>
      <c r="AC153" s="66">
        <v>22.2</v>
      </c>
      <c r="AD153" s="66">
        <v>22.4</v>
      </c>
      <c r="AE153" s="66">
        <v>20.6</v>
      </c>
      <c r="AF153" s="66">
        <v>22.6</v>
      </c>
      <c r="AG153" s="66">
        <v>21.2</v>
      </c>
      <c r="AH153" s="66">
        <v>19.8</v>
      </c>
      <c r="AI153" s="66"/>
      <c r="AJ153" s="66"/>
      <c r="AK153" s="66"/>
      <c r="AL153" s="66"/>
      <c r="AM153" s="66"/>
      <c r="AN153" s="66"/>
      <c r="AO153" s="66"/>
      <c r="AP153" s="67">
        <f t="shared" si="11"/>
        <v>24</v>
      </c>
      <c r="AQ153" s="68">
        <f t="shared" si="12"/>
        <v>22.033333333333331</v>
      </c>
      <c r="AR153" s="68">
        <f>IFERROR(VLOOKUP(A153,Climatologia_TMAX!A:U,9+$E$2,FALSE),"")</f>
        <v>18.654668342410279</v>
      </c>
      <c r="AS153" s="68">
        <f t="shared" si="13"/>
        <v>3.3786649909230526</v>
      </c>
      <c r="AT153" s="74">
        <f t="shared" si="14"/>
        <v>24.4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43036</v>
      </c>
      <c r="AW153" s="69">
        <f t="shared" si="15"/>
        <v>0.39999999999999858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21.4</v>
      </c>
      <c r="L154" s="66">
        <v>18</v>
      </c>
      <c r="M154" s="66">
        <v>18.399999999999999</v>
      </c>
      <c r="N154" s="66">
        <v>19.600000000000001</v>
      </c>
      <c r="O154" s="66">
        <v>23</v>
      </c>
      <c r="P154" s="66">
        <v>22.2</v>
      </c>
      <c r="Q154" s="66">
        <v>19.2</v>
      </c>
      <c r="R154" s="66">
        <v>20.2</v>
      </c>
      <c r="S154" s="66">
        <v>21.2</v>
      </c>
      <c r="T154" s="66">
        <v>18.399999999999999</v>
      </c>
      <c r="U154" s="66">
        <v>19.8</v>
      </c>
      <c r="V154" s="66">
        <v>18.2</v>
      </c>
      <c r="W154" s="66">
        <v>19.2</v>
      </c>
      <c r="X154" s="66">
        <v>21.4</v>
      </c>
      <c r="Y154" s="66">
        <v>22</v>
      </c>
      <c r="Z154" s="66">
        <v>20</v>
      </c>
      <c r="AA154" s="66">
        <v>21</v>
      </c>
      <c r="AB154" s="66">
        <v>18</v>
      </c>
      <c r="AC154" s="66">
        <v>20.2</v>
      </c>
      <c r="AD154" s="66">
        <v>20.6</v>
      </c>
      <c r="AE154" s="66">
        <v>18.600000000000001</v>
      </c>
      <c r="AF154" s="66">
        <v>20</v>
      </c>
      <c r="AG154" s="66">
        <v>19.600000000000001</v>
      </c>
      <c r="AH154" s="66">
        <v>18.399999999999999</v>
      </c>
      <c r="AI154" s="66"/>
      <c r="AJ154" s="66"/>
      <c r="AK154" s="66"/>
      <c r="AL154" s="66"/>
      <c r="AM154" s="66"/>
      <c r="AN154" s="66"/>
      <c r="AO154" s="66"/>
      <c r="AP154" s="67">
        <f t="shared" si="11"/>
        <v>24</v>
      </c>
      <c r="AQ154" s="68">
        <f t="shared" si="12"/>
        <v>19.941666666666666</v>
      </c>
      <c r="AR154" s="68">
        <f>IFERROR(VLOOKUP(A154,Climatologia_TMAX!A:U,9+$E$2,FALSE),"")</f>
        <v>19.149984586047989</v>
      </c>
      <c r="AS154" s="68">
        <f t="shared" si="13"/>
        <v>0.79168208061867773</v>
      </c>
      <c r="AT154" s="74">
        <f t="shared" si="14"/>
        <v>23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23.1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33161</v>
      </c>
      <c r="AW154" s="69">
        <f t="shared" si="15"/>
        <v>-0.10000000000000142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23.548125283236519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24.6</v>
      </c>
      <c r="L156" s="66">
        <v>19.2</v>
      </c>
      <c r="M156" s="66">
        <v>21.2</v>
      </c>
      <c r="N156" s="66">
        <v>23.6</v>
      </c>
      <c r="O156" s="66">
        <v>25</v>
      </c>
      <c r="P156" s="66">
        <v>23</v>
      </c>
      <c r="Q156" s="66">
        <v>22</v>
      </c>
      <c r="R156" s="66">
        <v>23.6</v>
      </c>
      <c r="S156" s="66">
        <v>23.8</v>
      </c>
      <c r="T156" s="66">
        <v>21.8</v>
      </c>
      <c r="U156" s="66">
        <v>23</v>
      </c>
      <c r="V156" s="66">
        <v>18.399999999999999</v>
      </c>
      <c r="W156" s="66">
        <v>24.2</v>
      </c>
      <c r="X156" s="66">
        <v>24.4</v>
      </c>
      <c r="Y156" s="66">
        <v>24.6</v>
      </c>
      <c r="Z156" s="66">
        <v>21.8</v>
      </c>
      <c r="AA156" s="66">
        <v>23.4</v>
      </c>
      <c r="AB156" s="66">
        <v>20.399999999999999</v>
      </c>
      <c r="AC156" s="66">
        <v>22.6</v>
      </c>
      <c r="AD156" s="66">
        <v>22.4</v>
      </c>
      <c r="AE156" s="66">
        <v>21</v>
      </c>
      <c r="AF156" s="66">
        <v>21.6</v>
      </c>
      <c r="AG156" s="66">
        <v>22.4</v>
      </c>
      <c r="AH156" s="66">
        <v>19.2</v>
      </c>
      <c r="AI156" s="66"/>
      <c r="AJ156" s="66"/>
      <c r="AK156" s="66"/>
      <c r="AL156" s="66"/>
      <c r="AM156" s="66"/>
      <c r="AN156" s="66"/>
      <c r="AO156" s="66"/>
      <c r="AP156" s="67">
        <f t="shared" si="11"/>
        <v>24</v>
      </c>
      <c r="AQ156" s="68">
        <f t="shared" si="12"/>
        <v>22.383333333333336</v>
      </c>
      <c r="AR156" s="68">
        <f>IFERROR(VLOOKUP(A156,Climatologia_TMAX!A:U,9+$E$2,FALSE),"")</f>
        <v>21.836735879372139</v>
      </c>
      <c r="AS156" s="68">
        <f t="shared" si="13"/>
        <v>0.54659745396119774</v>
      </c>
      <c r="AT156" s="74">
        <f t="shared" si="14"/>
        <v>25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56" s="69">
        <f t="shared" si="15"/>
        <v>-1.3999999999999986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25.6</v>
      </c>
      <c r="L158" s="66">
        <v>22.4</v>
      </c>
      <c r="M158" s="66">
        <v>23.8</v>
      </c>
      <c r="N158" s="66">
        <v>24</v>
      </c>
      <c r="O158" s="66">
        <v>26.2</v>
      </c>
      <c r="P158" s="66">
        <v>26</v>
      </c>
      <c r="Q158" s="66">
        <v>24.4</v>
      </c>
      <c r="R158" s="66">
        <v>25</v>
      </c>
      <c r="S158" s="66">
        <v>26.4</v>
      </c>
      <c r="T158" s="66">
        <v>24.6</v>
      </c>
      <c r="U158" s="66">
        <v>25</v>
      </c>
      <c r="V158" s="66">
        <v>22</v>
      </c>
      <c r="W158" s="66">
        <v>26</v>
      </c>
      <c r="X158" s="66">
        <v>26.2</v>
      </c>
      <c r="Y158" s="66">
        <v>26.8</v>
      </c>
      <c r="Z158" s="66">
        <v>24.8</v>
      </c>
      <c r="AA158" s="66">
        <v>25</v>
      </c>
      <c r="AB158" s="66">
        <v>23.4</v>
      </c>
      <c r="AC158" s="66">
        <v>25.2</v>
      </c>
      <c r="AD158" s="66">
        <v>25.6</v>
      </c>
      <c r="AE158" s="66">
        <v>23</v>
      </c>
      <c r="AF158" s="66">
        <v>25.8</v>
      </c>
      <c r="AG158" s="66">
        <v>24.8</v>
      </c>
      <c r="AH158" s="66">
        <v>21.8</v>
      </c>
      <c r="AI158" s="66"/>
      <c r="AJ158" s="66"/>
      <c r="AK158" s="66"/>
      <c r="AL158" s="66"/>
      <c r="AM158" s="66"/>
      <c r="AN158" s="66"/>
      <c r="AO158" s="66"/>
      <c r="AP158" s="67">
        <f t="shared" si="11"/>
        <v>24</v>
      </c>
      <c r="AQ158" s="68">
        <f t="shared" si="12"/>
        <v>24.74166666666666</v>
      </c>
      <c r="AR158" s="68">
        <f>IFERROR(VLOOKUP(A158,Climatologia_TMAX!A:U,9+$E$2,FALSE),"")</f>
        <v>24.249334588288981</v>
      </c>
      <c r="AS158" s="68">
        <f t="shared" si="13"/>
        <v>0.49233207837767878</v>
      </c>
      <c r="AT158" s="74">
        <f t="shared" si="14"/>
        <v>26.8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28.8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40459</v>
      </c>
      <c r="AW158" s="69">
        <f t="shared" si="15"/>
        <v>-2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28.934220428680462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34.299999999999997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32.200000000000003</v>
      </c>
      <c r="L160" s="66">
        <v>29.8</v>
      </c>
      <c r="M160" s="66">
        <v>32.799999999999997</v>
      </c>
      <c r="N160" s="66">
        <v>32.799999999999997</v>
      </c>
      <c r="O160" s="66">
        <v>32.4</v>
      </c>
      <c r="P160" s="66">
        <v>32</v>
      </c>
      <c r="Q160" s="66">
        <v>32.6</v>
      </c>
      <c r="R160" s="66">
        <v>32.4</v>
      </c>
      <c r="S160" s="66">
        <v>32.6</v>
      </c>
      <c r="T160" s="66">
        <v>30.2</v>
      </c>
      <c r="U160" s="66">
        <v>29.8</v>
      </c>
      <c r="V160" s="66">
        <v>31.2</v>
      </c>
      <c r="W160" s="66">
        <v>33</v>
      </c>
      <c r="X160" s="66">
        <v>33.799999999999997</v>
      </c>
      <c r="Y160" s="66">
        <v>32.200000000000003</v>
      </c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15</v>
      </c>
      <c r="AQ160" s="68">
        <f t="shared" si="12"/>
        <v>31.986666666666668</v>
      </c>
      <c r="AR160" s="68">
        <f>IFERROR(VLOOKUP(A160,Climatologia_TMAX!A:U,9+$E$2,FALSE),"")</f>
        <v>29.71458941824261</v>
      </c>
      <c r="AS160" s="68">
        <f t="shared" si="13"/>
        <v>2.2720772484240577</v>
      </c>
      <c r="AT160" s="74">
        <f t="shared" si="14"/>
        <v>33.799999999999997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29.789914567038039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32.799999999999997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26.640664716626159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26.405044779099288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32.4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19.2</v>
      </c>
      <c r="L164" s="66">
        <v>16.2</v>
      </c>
      <c r="M164" s="66">
        <v>17.600000000000001</v>
      </c>
      <c r="N164" s="66">
        <v>21.8</v>
      </c>
      <c r="O164" s="66">
        <v>24</v>
      </c>
      <c r="P164" s="66">
        <v>22.8</v>
      </c>
      <c r="Q164" s="66">
        <v>22.4</v>
      </c>
      <c r="R164" s="66">
        <v>20.6</v>
      </c>
      <c r="S164" s="66">
        <v>18.8</v>
      </c>
      <c r="T164" s="66">
        <v>21.6</v>
      </c>
      <c r="U164" s="109">
        <v>19.8</v>
      </c>
      <c r="V164" s="66">
        <v>18.8</v>
      </c>
      <c r="W164" s="66">
        <v>16</v>
      </c>
      <c r="X164" s="66">
        <v>19</v>
      </c>
      <c r="Y164" s="66">
        <v>20.8</v>
      </c>
      <c r="Z164" s="66">
        <v>17.2</v>
      </c>
      <c r="AA164" s="66">
        <v>18.8</v>
      </c>
      <c r="AB164" s="66">
        <v>21.8</v>
      </c>
      <c r="AC164" s="66">
        <v>23.4</v>
      </c>
      <c r="AD164" s="66">
        <v>21.6</v>
      </c>
      <c r="AE164" s="66">
        <v>19</v>
      </c>
      <c r="AF164" s="66">
        <v>22</v>
      </c>
      <c r="AG164" s="66">
        <v>18.600000000000001</v>
      </c>
      <c r="AH164" s="66">
        <v>21.4</v>
      </c>
      <c r="AI164" s="66"/>
      <c r="AJ164" s="66"/>
      <c r="AK164" s="66"/>
      <c r="AL164" s="66"/>
      <c r="AM164" s="66"/>
      <c r="AN164" s="66"/>
      <c r="AO164" s="66"/>
      <c r="AP164" s="67">
        <f t="shared" si="11"/>
        <v>24</v>
      </c>
      <c r="AQ164" s="68">
        <f t="shared" si="12"/>
        <v>20.133333333333336</v>
      </c>
      <c r="AR164" s="68">
        <f>IFERROR(VLOOKUP(A164,Climatologia_TMAX!A:U,9+$E$2,FALSE),"")</f>
        <v>17.920674115362662</v>
      </c>
      <c r="AS164" s="68">
        <f t="shared" si="13"/>
        <v>2.2126592179706748</v>
      </c>
      <c r="AT164" s="74">
        <f t="shared" si="14"/>
        <v>24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45206</v>
      </c>
      <c r="AW164" s="69">
        <f t="shared" si="15"/>
        <v>0.19999999999999929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16</v>
      </c>
      <c r="L165" s="66">
        <v>15</v>
      </c>
      <c r="M165" s="66">
        <v>16.2</v>
      </c>
      <c r="N165" s="66">
        <v>16.399999999999999</v>
      </c>
      <c r="O165" s="66">
        <v>15.6</v>
      </c>
      <c r="P165" s="66">
        <v>19</v>
      </c>
      <c r="Q165" s="66">
        <v>18.399999999999999</v>
      </c>
      <c r="R165" s="66">
        <v>18.8</v>
      </c>
      <c r="S165" s="66">
        <v>18.399999999999999</v>
      </c>
      <c r="T165" s="66">
        <v>17.8</v>
      </c>
      <c r="U165" s="66">
        <v>16.2</v>
      </c>
      <c r="V165" s="66">
        <v>16.8</v>
      </c>
      <c r="W165" s="66">
        <v>16.399999999999999</v>
      </c>
      <c r="X165" s="66">
        <v>16</v>
      </c>
      <c r="Y165" s="66">
        <v>16.399999999999999</v>
      </c>
      <c r="Z165" s="66">
        <v>16.8</v>
      </c>
      <c r="AA165" s="66">
        <v>16.8</v>
      </c>
      <c r="AB165" s="66">
        <v>17</v>
      </c>
      <c r="AC165" s="66">
        <v>17</v>
      </c>
      <c r="AD165" s="66">
        <v>15</v>
      </c>
      <c r="AE165" s="66">
        <v>15.4</v>
      </c>
      <c r="AF165" s="66">
        <v>16</v>
      </c>
      <c r="AG165" s="66">
        <v>16.399999999999999</v>
      </c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23</v>
      </c>
      <c r="AQ165" s="68">
        <f t="shared" si="12"/>
        <v>16.68695652173913</v>
      </c>
      <c r="AR165" s="68">
        <f>IFERROR(VLOOKUP(A165,Climatologia_TMAX!A:U,9+$E$2,FALSE),"")</f>
        <v>15.000064516129029</v>
      </c>
      <c r="AS165" s="68">
        <f t="shared" si="13"/>
        <v>1.6868920056101011</v>
      </c>
      <c r="AT165" s="74">
        <f t="shared" si="14"/>
        <v>19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40105</v>
      </c>
      <c r="AW165" s="69">
        <f t="shared" si="15"/>
        <v>-0.80000000000000071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16.8</v>
      </c>
      <c r="L166" s="66">
        <v>14.8</v>
      </c>
      <c r="M166" s="66">
        <v>15.2</v>
      </c>
      <c r="N166" s="66">
        <v>17.399999999999999</v>
      </c>
      <c r="O166" s="66">
        <v>20.6</v>
      </c>
      <c r="P166" s="66">
        <v>20.2</v>
      </c>
      <c r="Q166" s="66">
        <v>19.600000000000001</v>
      </c>
      <c r="R166" s="66">
        <v>18.2</v>
      </c>
      <c r="S166" s="66">
        <v>17.2</v>
      </c>
      <c r="T166" s="66">
        <v>18.8</v>
      </c>
      <c r="U166" s="66">
        <v>16</v>
      </c>
      <c r="V166" s="66">
        <v>16.399999999999999</v>
      </c>
      <c r="W166" s="66">
        <v>19.2</v>
      </c>
      <c r="X166" s="66">
        <v>19.600000000000001</v>
      </c>
      <c r="Y166" s="66">
        <v>17.600000000000001</v>
      </c>
      <c r="Z166" s="66">
        <v>15.7</v>
      </c>
      <c r="AA166" s="66">
        <v>15.8</v>
      </c>
      <c r="AB166" s="66">
        <v>16.8</v>
      </c>
      <c r="AC166" s="66">
        <v>19</v>
      </c>
      <c r="AD166" s="66">
        <v>18.2</v>
      </c>
      <c r="AE166" s="66">
        <v>15.8</v>
      </c>
      <c r="AF166" s="66">
        <v>18.2</v>
      </c>
      <c r="AG166" s="66">
        <v>16.5</v>
      </c>
      <c r="AH166" s="66">
        <v>17.399999999999999</v>
      </c>
      <c r="AI166" s="66"/>
      <c r="AJ166" s="66"/>
      <c r="AK166" s="66"/>
      <c r="AL166" s="66"/>
      <c r="AM166" s="66"/>
      <c r="AN166" s="66"/>
      <c r="AO166" s="66"/>
      <c r="AP166" s="67">
        <f t="shared" si="11"/>
        <v>24</v>
      </c>
      <c r="AQ166" s="68">
        <f t="shared" si="12"/>
        <v>17.541666666666664</v>
      </c>
      <c r="AR166" s="68">
        <f>IFERROR(VLOOKUP(A166,Climatologia_TMAX!A:U,9+$E$2,FALSE),"")</f>
        <v>16.482139196613019</v>
      </c>
      <c r="AS166" s="68">
        <f t="shared" si="13"/>
        <v>1.059527470053645</v>
      </c>
      <c r="AT166" s="74">
        <f t="shared" si="14"/>
        <v>20.6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32445</v>
      </c>
      <c r="AW166" s="69">
        <f t="shared" si="15"/>
        <v>-1.3999999999999986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15.2</v>
      </c>
      <c r="L167" s="66">
        <v>13.8</v>
      </c>
      <c r="M167" s="66">
        <v>14.4</v>
      </c>
      <c r="N167" s="66">
        <v>17.600000000000001</v>
      </c>
      <c r="O167" s="66">
        <v>21.2</v>
      </c>
      <c r="P167" s="66">
        <v>18.8</v>
      </c>
      <c r="Q167" s="66">
        <v>18.600000000000001</v>
      </c>
      <c r="R167" s="66">
        <v>17.8</v>
      </c>
      <c r="S167" s="66">
        <v>18</v>
      </c>
      <c r="T167" s="66">
        <v>19.2</v>
      </c>
      <c r="U167" s="109">
        <v>17.2</v>
      </c>
      <c r="V167" s="66">
        <v>16.399999999999999</v>
      </c>
      <c r="W167" s="66">
        <v>15.8</v>
      </c>
      <c r="X167" s="66">
        <v>18.2</v>
      </c>
      <c r="Y167" s="66">
        <v>18.2</v>
      </c>
      <c r="Z167" s="66">
        <v>15</v>
      </c>
      <c r="AA167" s="66">
        <v>17.600000000000001</v>
      </c>
      <c r="AB167" s="66">
        <v>19.8</v>
      </c>
      <c r="AC167" s="66">
        <v>20.399999999999999</v>
      </c>
      <c r="AD167" s="66">
        <v>17.2</v>
      </c>
      <c r="AE167" s="66">
        <v>17.399999999999999</v>
      </c>
      <c r="AF167" s="66">
        <v>20.100000000000001</v>
      </c>
      <c r="AG167" s="66">
        <v>18.399999999999999</v>
      </c>
      <c r="AH167" s="66">
        <v>19.2</v>
      </c>
      <c r="AI167" s="66"/>
      <c r="AJ167" s="66"/>
      <c r="AK167" s="66"/>
      <c r="AL167" s="66"/>
      <c r="AM167" s="66"/>
      <c r="AN167" s="66"/>
      <c r="AO167" s="66"/>
      <c r="AP167" s="67">
        <f t="shared" si="11"/>
        <v>24</v>
      </c>
      <c r="AQ167" s="68">
        <f t="shared" si="12"/>
        <v>17.729166666666664</v>
      </c>
      <c r="AR167" s="68">
        <f>IFERROR(VLOOKUP(A167,Climatologia_TMAX!A:U,9+$E$2,FALSE),"")</f>
        <v>16.434784946236562</v>
      </c>
      <c r="AS167" s="68">
        <f t="shared" si="13"/>
        <v>1.2943817204301027</v>
      </c>
      <c r="AT167" s="74">
        <f t="shared" si="14"/>
        <v>21.2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45222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21.8</v>
      </c>
      <c r="L168" s="66">
        <v>20</v>
      </c>
      <c r="M168" s="66">
        <v>22.4</v>
      </c>
      <c r="N168" s="66">
        <v>21.6</v>
      </c>
      <c r="O168" s="66">
        <v>27.2</v>
      </c>
      <c r="P168" s="66">
        <v>26.2</v>
      </c>
      <c r="Q168" s="66">
        <v>25.6</v>
      </c>
      <c r="R168" s="66">
        <v>22.2</v>
      </c>
      <c r="S168" s="66">
        <v>24.8</v>
      </c>
      <c r="T168" s="66">
        <v>25.2</v>
      </c>
      <c r="U168" s="109">
        <v>22.6</v>
      </c>
      <c r="V168" s="66">
        <v>22.4</v>
      </c>
      <c r="W168" s="66">
        <v>22.4</v>
      </c>
      <c r="X168" s="66">
        <v>23.8</v>
      </c>
      <c r="Y168" s="66">
        <v>23.8</v>
      </c>
      <c r="Z168" s="66">
        <v>21.8</v>
      </c>
      <c r="AA168" s="66">
        <v>22</v>
      </c>
      <c r="AB168" s="66">
        <v>25.4</v>
      </c>
      <c r="AC168" s="66">
        <v>25.8</v>
      </c>
      <c r="AD168" s="66">
        <v>24.2</v>
      </c>
      <c r="AE168" s="66">
        <v>20.8</v>
      </c>
      <c r="AF168" s="66">
        <v>25.4</v>
      </c>
      <c r="AG168" s="66">
        <v>23.2</v>
      </c>
      <c r="AH168" s="66">
        <v>25.2</v>
      </c>
      <c r="AI168" s="66"/>
      <c r="AJ168" s="66"/>
      <c r="AK168" s="66"/>
      <c r="AL168" s="66"/>
      <c r="AM168" s="66"/>
      <c r="AN168" s="66"/>
      <c r="AO168" s="66"/>
      <c r="AP168" s="67">
        <f t="shared" si="11"/>
        <v>24</v>
      </c>
      <c r="AQ168" s="68">
        <f t="shared" si="12"/>
        <v>23.575000000000003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27.2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43374</v>
      </c>
      <c r="AW168" s="69">
        <f t="shared" si="15"/>
        <v>-0.19999999999999929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29.769897498625099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33.131577060931903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22.69299064261245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30615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24.2</v>
      </c>
      <c r="L172" s="66">
        <v>22.8</v>
      </c>
      <c r="M172" s="66">
        <v>23.2</v>
      </c>
      <c r="N172" s="66">
        <v>26.6</v>
      </c>
      <c r="O172" s="66">
        <v>23.6</v>
      </c>
      <c r="P172" s="66">
        <v>23.4</v>
      </c>
      <c r="Q172" s="66">
        <v>22.6</v>
      </c>
      <c r="R172" s="66">
        <v>21.6</v>
      </c>
      <c r="S172" s="66">
        <v>24.8</v>
      </c>
      <c r="T172" s="66">
        <v>24.4</v>
      </c>
      <c r="U172" s="66">
        <v>24.6</v>
      </c>
      <c r="V172" s="66">
        <v>19.399999999999999</v>
      </c>
      <c r="W172" s="66">
        <v>18.399999999999999</v>
      </c>
      <c r="X172" s="66">
        <v>21.6</v>
      </c>
      <c r="Y172" s="66">
        <v>24.8</v>
      </c>
      <c r="Z172" s="66">
        <v>22.6</v>
      </c>
      <c r="AA172" s="66">
        <v>22.8</v>
      </c>
      <c r="AB172" s="66">
        <v>26.6</v>
      </c>
      <c r="AC172" s="66">
        <v>23.6</v>
      </c>
      <c r="AD172" s="66">
        <v>24.4</v>
      </c>
      <c r="AE172" s="66">
        <v>20.8</v>
      </c>
      <c r="AF172" s="66">
        <v>24.6</v>
      </c>
      <c r="AG172" s="66">
        <v>24.4</v>
      </c>
      <c r="AH172" s="66">
        <v>26.6</v>
      </c>
      <c r="AI172" s="66"/>
      <c r="AJ172" s="66"/>
      <c r="AK172" s="66"/>
      <c r="AL172" s="66"/>
      <c r="AM172" s="66"/>
      <c r="AN172" s="66"/>
      <c r="AO172" s="66"/>
      <c r="AP172" s="67">
        <f t="shared" si="11"/>
        <v>24</v>
      </c>
      <c r="AQ172" s="68">
        <f t="shared" si="12"/>
        <v>23.433333333333337</v>
      </c>
      <c r="AR172" s="68">
        <f>IFERROR(VLOOKUP(A172,Climatologia_TMAX!A:U,9+$E$2,FALSE),"")</f>
        <v>20.925136024421342</v>
      </c>
      <c r="AS172" s="68">
        <f t="shared" si="13"/>
        <v>2.5081973089119955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34994</v>
      </c>
      <c r="AW172" s="69">
        <f t="shared" si="15"/>
        <v>-1.3999999999999986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17.399999999999999</v>
      </c>
      <c r="M173" s="66">
        <v>20.6</v>
      </c>
      <c r="N173" s="66">
        <v>23.4</v>
      </c>
      <c r="O173" s="66">
        <v>24.6</v>
      </c>
      <c r="P173" s="66">
        <v>23.6</v>
      </c>
      <c r="Q173" s="66">
        <v>23.2</v>
      </c>
      <c r="R173" s="66">
        <v>22.2</v>
      </c>
      <c r="S173" s="66">
        <v>22.6</v>
      </c>
      <c r="T173" s="66">
        <v>23.4</v>
      </c>
      <c r="U173" s="66">
        <v>22.2</v>
      </c>
      <c r="V173" s="66">
        <v>22.6</v>
      </c>
      <c r="W173" s="66">
        <v>23.6</v>
      </c>
      <c r="X173" s="66">
        <v>24</v>
      </c>
      <c r="Y173" s="66">
        <v>23.6</v>
      </c>
      <c r="Z173" s="66">
        <v>21.2</v>
      </c>
      <c r="AA173" s="66">
        <v>19.399999999999999</v>
      </c>
      <c r="AB173" s="66">
        <v>20.6</v>
      </c>
      <c r="AC173" s="66">
        <v>24.4</v>
      </c>
      <c r="AD173" s="66">
        <v>22.2</v>
      </c>
      <c r="AE173" s="66">
        <v>19</v>
      </c>
      <c r="AF173" s="66">
        <v>21.6</v>
      </c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22</v>
      </c>
      <c r="AQ173" s="68">
        <f t="shared" si="12"/>
        <v>22.127272727272729</v>
      </c>
      <c r="AR173" s="68">
        <f>IFERROR(VLOOKUP(A173,Climatologia_TMAX!A:U,9+$E$2,FALSE),"")</f>
        <v>21.08840053763441</v>
      </c>
      <c r="AS173" s="68">
        <f t="shared" si="13"/>
        <v>1.0388721896383188</v>
      </c>
      <c r="AT173" s="74">
        <f t="shared" si="14"/>
        <v>24.6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26.4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73" s="69">
        <f t="shared" si="15"/>
        <v>-1.7999999999999972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21.951417315535782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44865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18.600000000000001</v>
      </c>
      <c r="L175" s="66">
        <v>16</v>
      </c>
      <c r="M175" s="66">
        <v>17.8</v>
      </c>
      <c r="N175" s="66">
        <v>22</v>
      </c>
      <c r="O175" s="66">
        <v>24.6</v>
      </c>
      <c r="P175" s="66">
        <v>24.2</v>
      </c>
      <c r="Q175" s="66">
        <v>21.6</v>
      </c>
      <c r="R175" s="66">
        <v>19.600000000000001</v>
      </c>
      <c r="S175" s="66">
        <v>19.8</v>
      </c>
      <c r="T175" s="66">
        <v>20.399999999999999</v>
      </c>
      <c r="U175" s="109">
        <v>18.399999999999999</v>
      </c>
      <c r="V175" s="66">
        <v>18.3</v>
      </c>
      <c r="W175" s="66">
        <v>16.399999999999999</v>
      </c>
      <c r="X175" s="66">
        <v>19.600000000000001</v>
      </c>
      <c r="Y175" s="66">
        <v>20.399999999999999</v>
      </c>
      <c r="Z175" s="66">
        <v>17.399999999999999</v>
      </c>
      <c r="AA175" s="66">
        <v>19</v>
      </c>
      <c r="AB175" s="66">
        <v>21.6</v>
      </c>
      <c r="AC175" s="66">
        <v>22.1</v>
      </c>
      <c r="AD175" s="66">
        <v>20</v>
      </c>
      <c r="AE175" s="66">
        <v>19</v>
      </c>
      <c r="AF175" s="66">
        <v>21</v>
      </c>
      <c r="AG175" s="66">
        <v>18.8</v>
      </c>
      <c r="AH175" s="66">
        <v>20.6</v>
      </c>
      <c r="AI175" s="66"/>
      <c r="AJ175" s="66"/>
      <c r="AK175" s="66"/>
      <c r="AL175" s="66"/>
      <c r="AM175" s="66"/>
      <c r="AN175" s="66"/>
      <c r="AO175" s="66"/>
      <c r="AP175" s="67">
        <f t="shared" si="11"/>
        <v>24</v>
      </c>
      <c r="AQ175" s="68">
        <f t="shared" si="12"/>
        <v>19.883333333333336</v>
      </c>
      <c r="AR175" s="68">
        <f>IFERROR(VLOOKUP(A175,Climatologia_TMAX!A:U,9+$E$2,FALSE),"")</f>
        <v>18.033624191488482</v>
      </c>
      <c r="AS175" s="68">
        <f t="shared" si="13"/>
        <v>1.8497091418448548</v>
      </c>
      <c r="AT175" s="74">
        <f t="shared" si="14"/>
        <v>24.6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175" s="69">
        <f t="shared" si="15"/>
        <v>0.60000000000000142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19.3</v>
      </c>
      <c r="L176" s="66">
        <v>16.899999999999999</v>
      </c>
      <c r="M176" s="66">
        <v>20.7</v>
      </c>
      <c r="N176" s="66">
        <v>19.8</v>
      </c>
      <c r="O176" s="66">
        <v>21.7</v>
      </c>
      <c r="P176" s="66">
        <v>18.899999999999999</v>
      </c>
      <c r="Q176" s="66">
        <v>18.2</v>
      </c>
      <c r="R176" s="66">
        <v>18.899999999999999</v>
      </c>
      <c r="S176" s="66">
        <v>21.3</v>
      </c>
      <c r="T176" s="66">
        <v>20.399999999999999</v>
      </c>
      <c r="U176" s="109">
        <v>19.899999999999999</v>
      </c>
      <c r="V176" s="109">
        <v>16.600000000000001</v>
      </c>
      <c r="W176" s="66">
        <v>15.7</v>
      </c>
      <c r="X176" s="66">
        <v>20.3</v>
      </c>
      <c r="Y176" s="66">
        <v>23.5</v>
      </c>
      <c r="Z176" s="66">
        <v>18.7</v>
      </c>
      <c r="AA176" s="66">
        <v>19.2</v>
      </c>
      <c r="AB176" s="66">
        <v>22.3</v>
      </c>
      <c r="AC176" s="66">
        <v>20.399999999999999</v>
      </c>
      <c r="AD176" s="66">
        <v>20.6</v>
      </c>
      <c r="AE176" s="66">
        <v>16.2</v>
      </c>
      <c r="AF176" s="66">
        <v>21.4</v>
      </c>
      <c r="AG176" s="66">
        <v>21.2</v>
      </c>
      <c r="AH176" s="66">
        <v>19.8</v>
      </c>
      <c r="AI176" s="66"/>
      <c r="AJ176" s="66"/>
      <c r="AK176" s="66"/>
      <c r="AL176" s="66"/>
      <c r="AM176" s="66"/>
      <c r="AN176" s="66"/>
      <c r="AO176" s="66"/>
      <c r="AP176" s="67">
        <f t="shared" si="11"/>
        <v>24</v>
      </c>
      <c r="AQ176" s="68">
        <f t="shared" si="12"/>
        <v>19.662499999999998</v>
      </c>
      <c r="AR176" s="68">
        <f>IFERROR(VLOOKUP(A176,Climatologia_TMAX!A:U,9+$E$2,FALSE),"")</f>
        <v>18.320838709677421</v>
      </c>
      <c r="AS176" s="68">
        <f t="shared" si="13"/>
        <v>1.3416612903225769</v>
      </c>
      <c r="AT176" s="74">
        <f t="shared" si="14"/>
        <v>23.5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76" s="69">
        <f t="shared" si="15"/>
        <v>-0.10000000000000142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31.422856777779131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35.799999999999997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45935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>
        <v>33</v>
      </c>
      <c r="U178" s="66">
        <v>32.6</v>
      </c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2</v>
      </c>
      <c r="AQ178" s="68" t="str">
        <f t="shared" si="12"/>
        <v/>
      </c>
      <c r="AR178" s="68">
        <f>IFERROR(VLOOKUP(A178,Climatologia_TMAX!A:U,9+$E$2,FALSE),"")</f>
        <v>31.044977396972769</v>
      </c>
      <c r="AS178" s="68" t="str">
        <f t="shared" si="13"/>
        <v/>
      </c>
      <c r="AT178" s="74">
        <f t="shared" si="14"/>
        <v>33</v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38629</v>
      </c>
      <c r="AW178" s="69">
        <f t="shared" si="15"/>
        <v>-3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35.4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20.8</v>
      </c>
      <c r="M180" s="66">
        <v>24</v>
      </c>
      <c r="N180" s="66">
        <v>28.6</v>
      </c>
      <c r="O180" s="66">
        <v>28.8</v>
      </c>
      <c r="P180" s="66">
        <v>26.4</v>
      </c>
      <c r="Q180" s="66">
        <v>24.8</v>
      </c>
      <c r="R180" s="66">
        <v>24</v>
      </c>
      <c r="S180" s="66">
        <v>26.8</v>
      </c>
      <c r="T180" s="66">
        <v>26.4</v>
      </c>
      <c r="U180" s="109">
        <v>24.8</v>
      </c>
      <c r="V180" s="66">
        <v>20.6</v>
      </c>
      <c r="W180" s="66">
        <v>20</v>
      </c>
      <c r="X180" s="66">
        <v>24.2</v>
      </c>
      <c r="Y180" s="66">
        <v>25.2</v>
      </c>
      <c r="Z180" s="66">
        <v>23.4</v>
      </c>
      <c r="AA180" s="66">
        <v>24.2</v>
      </c>
      <c r="AB180" s="66">
        <v>27.2</v>
      </c>
      <c r="AC180" s="66">
        <v>26.8</v>
      </c>
      <c r="AD180" s="66">
        <v>26</v>
      </c>
      <c r="AE180" s="66">
        <v>22.4</v>
      </c>
      <c r="AF180" s="66">
        <v>27.2</v>
      </c>
      <c r="AG180" s="66">
        <v>25.6</v>
      </c>
      <c r="AH180" s="66">
        <v>26</v>
      </c>
      <c r="AI180" s="66"/>
      <c r="AJ180" s="66"/>
      <c r="AK180" s="66"/>
      <c r="AL180" s="66"/>
      <c r="AM180" s="66"/>
      <c r="AN180" s="66"/>
      <c r="AO180" s="66"/>
      <c r="AP180" s="67">
        <f t="shared" si="11"/>
        <v>24</v>
      </c>
      <c r="AQ180" s="68">
        <f t="shared" si="12"/>
        <v>24.933333333333337</v>
      </c>
      <c r="AR180" s="68">
        <f>IFERROR(VLOOKUP(A180,Climatologia_TMAX!A:U,9+$E$2,FALSE),"")</f>
        <v>22.510462148622612</v>
      </c>
      <c r="AS180" s="68">
        <f t="shared" si="13"/>
        <v>2.4228711847107256</v>
      </c>
      <c r="AT180" s="74">
        <f t="shared" si="14"/>
        <v>28.8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</v>
      </c>
      <c r="L181" s="66">
        <v>16.8</v>
      </c>
      <c r="M181" s="66">
        <v>18</v>
      </c>
      <c r="N181" s="66">
        <v>21.1</v>
      </c>
      <c r="O181" s="66">
        <v>24.8</v>
      </c>
      <c r="P181" s="66">
        <v>23</v>
      </c>
      <c r="Q181" s="66">
        <v>22</v>
      </c>
      <c r="R181" s="66">
        <v>20.100000000000001</v>
      </c>
      <c r="S181" s="66">
        <v>19</v>
      </c>
      <c r="T181" s="66">
        <v>21.8</v>
      </c>
      <c r="U181" s="109">
        <v>19.899999999999999</v>
      </c>
      <c r="V181" s="66">
        <v>18.899999999999999</v>
      </c>
      <c r="W181" s="66">
        <v>18</v>
      </c>
      <c r="X181" s="66">
        <v>20.3</v>
      </c>
      <c r="Y181" s="66">
        <v>19</v>
      </c>
      <c r="Z181" s="66">
        <v>17.8</v>
      </c>
      <c r="AA181" s="66">
        <v>20</v>
      </c>
      <c r="AB181" s="66">
        <v>21</v>
      </c>
      <c r="AC181" s="66">
        <v>23.8</v>
      </c>
      <c r="AD181" s="66">
        <v>20.2</v>
      </c>
      <c r="AE181" s="66">
        <v>20</v>
      </c>
      <c r="AF181" s="66">
        <v>21.6</v>
      </c>
      <c r="AG181" s="66">
        <v>20.9</v>
      </c>
      <c r="AH181" s="66">
        <v>22.1</v>
      </c>
      <c r="AI181" s="66"/>
      <c r="AJ181" s="66"/>
      <c r="AK181" s="66"/>
      <c r="AL181" s="66"/>
      <c r="AM181" s="66"/>
      <c r="AN181" s="66"/>
      <c r="AO181" s="66"/>
      <c r="AP181" s="67">
        <f t="shared" si="11"/>
        <v>24</v>
      </c>
      <c r="AQ181" s="68">
        <f t="shared" si="12"/>
        <v>20.337500000000002</v>
      </c>
      <c r="AR181" s="68">
        <f>IFERROR(VLOOKUP(A181,Climatologia_TMAX!A:U,9+$E$2,FALSE),"")</f>
        <v>18.09181003584229</v>
      </c>
      <c r="AS181" s="68">
        <f t="shared" si="13"/>
        <v>2.2456899641577124</v>
      </c>
      <c r="AT181" s="74">
        <f t="shared" si="14"/>
        <v>24.8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24.1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45221</v>
      </c>
      <c r="AW181" s="69">
        <f t="shared" si="15"/>
        <v>0.69999999999999929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22.4</v>
      </c>
      <c r="L182" s="66">
        <v>18.8</v>
      </c>
      <c r="M182" s="66">
        <v>22.4</v>
      </c>
      <c r="N182" s="66">
        <v>22.8</v>
      </c>
      <c r="O182" s="66">
        <v>23.2</v>
      </c>
      <c r="P182" s="66">
        <v>22.8</v>
      </c>
      <c r="Q182" s="66"/>
      <c r="R182" s="66"/>
      <c r="S182" s="66">
        <v>26.4</v>
      </c>
      <c r="T182" s="66">
        <v>24.4</v>
      </c>
      <c r="U182" s="66">
        <v>23.6</v>
      </c>
      <c r="V182" s="66">
        <v>22</v>
      </c>
      <c r="W182" s="66">
        <v>21.8</v>
      </c>
      <c r="X182" s="66">
        <v>25</v>
      </c>
      <c r="Y182" s="66">
        <v>29.2</v>
      </c>
      <c r="Z182" s="66">
        <v>27.8</v>
      </c>
      <c r="AA182" s="66">
        <v>26</v>
      </c>
      <c r="AB182" s="66">
        <v>27</v>
      </c>
      <c r="AC182" s="66">
        <v>26</v>
      </c>
      <c r="AD182" s="66">
        <v>24.4</v>
      </c>
      <c r="AE182" s="66">
        <v>22.8</v>
      </c>
      <c r="AF182" s="66">
        <v>26.4</v>
      </c>
      <c r="AG182" s="66">
        <v>24.2</v>
      </c>
      <c r="AH182" s="66">
        <v>25</v>
      </c>
      <c r="AI182" s="66"/>
      <c r="AJ182" s="66"/>
      <c r="AK182" s="66"/>
      <c r="AL182" s="66"/>
      <c r="AM182" s="66"/>
      <c r="AN182" s="66"/>
      <c r="AO182" s="66"/>
      <c r="AP182" s="67">
        <f t="shared" si="11"/>
        <v>22</v>
      </c>
      <c r="AQ182" s="68">
        <f t="shared" si="12"/>
        <v>24.290909090909089</v>
      </c>
      <c r="AR182" s="68">
        <f>IFERROR(VLOOKUP(A182,Climatologia_TMAX!A:U,9+$E$2,FALSE),"")</f>
        <v>23.355345243770479</v>
      </c>
      <c r="AS182" s="68">
        <f t="shared" si="13"/>
        <v>0.93556384713861007</v>
      </c>
      <c r="AT182" s="74">
        <f t="shared" si="14"/>
        <v>29.2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37541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24.8</v>
      </c>
      <c r="L183" s="66">
        <v>22.4</v>
      </c>
      <c r="M183" s="66">
        <v>26.8</v>
      </c>
      <c r="N183" s="66">
        <v>30</v>
      </c>
      <c r="O183" s="66">
        <v>29.6</v>
      </c>
      <c r="P183" s="66">
        <v>28.4</v>
      </c>
      <c r="Q183" s="66">
        <v>30</v>
      </c>
      <c r="R183" s="66">
        <v>26.8</v>
      </c>
      <c r="S183" s="66">
        <v>29.4</v>
      </c>
      <c r="T183" s="66">
        <v>27.6</v>
      </c>
      <c r="U183" s="66">
        <v>26.8</v>
      </c>
      <c r="V183" s="66">
        <v>25.8</v>
      </c>
      <c r="W183" s="66">
        <v>25</v>
      </c>
      <c r="X183" s="66">
        <v>28.4</v>
      </c>
      <c r="Y183" s="66">
        <v>31.8</v>
      </c>
      <c r="Z183" s="66">
        <v>25</v>
      </c>
      <c r="AA183" s="66">
        <v>28</v>
      </c>
      <c r="AB183" s="66">
        <v>29.4</v>
      </c>
      <c r="AC183" s="109">
        <v>29.8</v>
      </c>
      <c r="AD183" s="66">
        <v>28.2</v>
      </c>
      <c r="AE183" s="66">
        <v>24.8</v>
      </c>
      <c r="AF183" s="66">
        <v>30.2</v>
      </c>
      <c r="AG183" s="66">
        <v>31.6</v>
      </c>
      <c r="AH183" s="66">
        <v>30</v>
      </c>
      <c r="AI183" s="66"/>
      <c r="AJ183" s="66"/>
      <c r="AK183" s="66"/>
      <c r="AL183" s="66"/>
      <c r="AM183" s="66"/>
      <c r="AN183" s="66"/>
      <c r="AO183" s="66"/>
      <c r="AP183" s="67">
        <f t="shared" si="11"/>
        <v>24</v>
      </c>
      <c r="AQ183" s="68">
        <f t="shared" si="12"/>
        <v>27.941666666666666</v>
      </c>
      <c r="AR183" s="68">
        <f>IFERROR(VLOOKUP(A183,Climatologia_TMAX!A:U,9+$E$2,FALSE),"")</f>
        <v>26.266167047635339</v>
      </c>
      <c r="AS183" s="68">
        <f t="shared" si="13"/>
        <v>1.6754996190313278</v>
      </c>
      <c r="AT183" s="74">
        <f t="shared" si="14"/>
        <v>31.8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41917</v>
      </c>
      <c r="AW183" s="69">
        <f t="shared" si="15"/>
        <v>0.40000000000000213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18.2</v>
      </c>
      <c r="L184" s="66">
        <v>16.8</v>
      </c>
      <c r="M184" s="66">
        <v>18.8</v>
      </c>
      <c r="N184" s="66">
        <v>19.8</v>
      </c>
      <c r="O184" s="66">
        <v>20.8</v>
      </c>
      <c r="P184" s="66">
        <v>19.600000000000001</v>
      </c>
      <c r="Q184" s="66">
        <v>15.8</v>
      </c>
      <c r="R184" s="66">
        <v>17.8</v>
      </c>
      <c r="S184" s="66">
        <v>19.399999999999999</v>
      </c>
      <c r="T184" s="66">
        <v>17.600000000000001</v>
      </c>
      <c r="U184" s="109">
        <v>15.8</v>
      </c>
      <c r="V184" s="66">
        <v>18.8</v>
      </c>
      <c r="W184" s="66">
        <v>17.399999999999999</v>
      </c>
      <c r="X184" s="66">
        <v>16.2</v>
      </c>
      <c r="Y184" s="66">
        <v>20.6</v>
      </c>
      <c r="Z184" s="66">
        <v>18.600000000000001</v>
      </c>
      <c r="AA184" s="66">
        <v>15</v>
      </c>
      <c r="AB184" s="66">
        <v>17.600000000000001</v>
      </c>
      <c r="AC184" s="66">
        <v>18.8</v>
      </c>
      <c r="AD184" s="66">
        <v>18.600000000000001</v>
      </c>
      <c r="AE184" s="66">
        <v>15.8</v>
      </c>
      <c r="AF184" s="66">
        <v>18.399999999999999</v>
      </c>
      <c r="AG184" s="66">
        <v>18</v>
      </c>
      <c r="AH184" s="66">
        <v>18.8</v>
      </c>
      <c r="AI184" s="66"/>
      <c r="AJ184" s="66"/>
      <c r="AK184" s="66"/>
      <c r="AL184" s="66"/>
      <c r="AM184" s="66"/>
      <c r="AN184" s="66"/>
      <c r="AO184" s="66"/>
      <c r="AP184" s="67">
        <f t="shared" si="11"/>
        <v>24</v>
      </c>
      <c r="AQ184" s="68">
        <f t="shared" si="12"/>
        <v>18.041666666666671</v>
      </c>
      <c r="AR184" s="68">
        <f>IFERROR(VLOOKUP(A184,Climatologia_TMAX!A:U,9+$E$2,FALSE),"")</f>
        <v>16.32516129032258</v>
      </c>
      <c r="AS184" s="68">
        <f t="shared" si="13"/>
        <v>1.7165053763440916</v>
      </c>
      <c r="AT184" s="74">
        <f t="shared" si="14"/>
        <v>20.8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23.4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38268</v>
      </c>
      <c r="AW184" s="69">
        <f t="shared" si="15"/>
        <v>-2.5999999999999979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29.8</v>
      </c>
      <c r="L185" s="66">
        <v>32</v>
      </c>
      <c r="M185" s="66">
        <v>32</v>
      </c>
      <c r="N185" s="66">
        <v>30</v>
      </c>
      <c r="O185" s="66">
        <v>30.4</v>
      </c>
      <c r="P185" s="66">
        <v>29.2</v>
      </c>
      <c r="Q185" s="66">
        <v>30</v>
      </c>
      <c r="R185" s="66">
        <v>29.4</v>
      </c>
      <c r="S185" s="66">
        <v>29.4</v>
      </c>
      <c r="T185" s="66">
        <v>29</v>
      </c>
      <c r="U185" s="66">
        <v>29.8</v>
      </c>
      <c r="V185" s="66">
        <v>27.4</v>
      </c>
      <c r="W185" s="66">
        <v>24.2</v>
      </c>
      <c r="X185" s="66">
        <v>30.4</v>
      </c>
      <c r="Y185" s="66">
        <v>30</v>
      </c>
      <c r="Z185" s="66">
        <v>30.2</v>
      </c>
      <c r="AA185" s="66">
        <v>28.4</v>
      </c>
      <c r="AB185" s="66">
        <v>25.2</v>
      </c>
      <c r="AC185" s="66">
        <v>30.8</v>
      </c>
      <c r="AD185" s="66">
        <v>30.6</v>
      </c>
      <c r="AE185" s="66">
        <v>27.2</v>
      </c>
      <c r="AF185" s="66">
        <v>29.4</v>
      </c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22</v>
      </c>
      <c r="AQ185" s="68">
        <f t="shared" si="12"/>
        <v>29.309090909090909</v>
      </c>
      <c r="AR185" s="68">
        <f>IFERROR(VLOOKUP(A185,Climatologia_TMAX!A:U,9+$E$2,FALSE),"")</f>
        <v>27.139364605694318</v>
      </c>
      <c r="AS185" s="68">
        <f t="shared" si="13"/>
        <v>2.1697263033965903</v>
      </c>
      <c r="AT185" s="74">
        <f t="shared" si="14"/>
        <v>32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42284</v>
      </c>
      <c r="AW185" s="69">
        <f t="shared" si="15"/>
        <v>-0.79999999999999716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0</v>
      </c>
      <c r="AQ186" s="68" t="str">
        <f t="shared" si="12"/>
        <v/>
      </c>
      <c r="AR186" s="68">
        <f>IFERROR(VLOOKUP(A186,Climatologia_TMAX!A:U,9+$E$2,FALSE),"")</f>
        <v>26.801545656255328</v>
      </c>
      <c r="AS186" s="68" t="str">
        <f t="shared" si="13"/>
        <v/>
      </c>
      <c r="AT186" s="74" t="str">
        <f t="shared" si="14"/>
        <v/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186" s="69" t="str">
        <f t="shared" si="15"/>
        <v>NA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24.6</v>
      </c>
      <c r="L187" s="66">
        <v>24.2</v>
      </c>
      <c r="M187" s="66">
        <v>23.2</v>
      </c>
      <c r="N187" s="66">
        <v>26.2</v>
      </c>
      <c r="O187" s="66">
        <v>27</v>
      </c>
      <c r="P187" s="66">
        <v>26</v>
      </c>
      <c r="Q187" s="66">
        <v>26.4</v>
      </c>
      <c r="R187" s="66">
        <v>25.8</v>
      </c>
      <c r="S187" s="66">
        <v>26.8</v>
      </c>
      <c r="T187" s="66">
        <v>23.2</v>
      </c>
      <c r="U187" s="66">
        <v>26.2</v>
      </c>
      <c r="V187" s="66">
        <v>23.6</v>
      </c>
      <c r="W187" s="66">
        <v>21.2</v>
      </c>
      <c r="X187" s="66">
        <v>27</v>
      </c>
      <c r="Y187" s="66">
        <v>26.6</v>
      </c>
      <c r="Z187" s="66">
        <v>24.8</v>
      </c>
      <c r="AA187" s="66">
        <v>25.8</v>
      </c>
      <c r="AB187" s="66">
        <v>24.6</v>
      </c>
      <c r="AC187" s="66">
        <v>26</v>
      </c>
      <c r="AD187" s="66">
        <v>26.6</v>
      </c>
      <c r="AE187" s="66">
        <v>24.2</v>
      </c>
      <c r="AF187" s="66"/>
      <c r="AG187" s="66">
        <v>28.2</v>
      </c>
      <c r="AH187" s="66">
        <v>25.6</v>
      </c>
      <c r="AI187" s="66"/>
      <c r="AJ187" s="66"/>
      <c r="AK187" s="66"/>
      <c r="AL187" s="66"/>
      <c r="AM187" s="66"/>
      <c r="AN187" s="66"/>
      <c r="AO187" s="66"/>
      <c r="AP187" s="67">
        <f t="shared" si="11"/>
        <v>23</v>
      </c>
      <c r="AQ187" s="68">
        <f t="shared" si="12"/>
        <v>25.382608695652181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87" s="69">
        <f t="shared" si="15"/>
        <v>0.19999999999999929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16.399999999999999</v>
      </c>
      <c r="L188" s="66">
        <v>14.6</v>
      </c>
      <c r="M188" s="66">
        <v>12.8</v>
      </c>
      <c r="N188" s="66">
        <v>16.399999999999999</v>
      </c>
      <c r="O188" s="66">
        <v>17.2</v>
      </c>
      <c r="P188" s="66">
        <v>17.2</v>
      </c>
      <c r="Q188" s="66">
        <v>16</v>
      </c>
      <c r="R188" s="66">
        <v>15.8</v>
      </c>
      <c r="S188" s="66">
        <v>15.2</v>
      </c>
      <c r="T188" s="66">
        <v>16.399999999999999</v>
      </c>
      <c r="U188" s="66">
        <v>15.4</v>
      </c>
      <c r="V188" s="66">
        <v>11.6</v>
      </c>
      <c r="W188" s="66">
        <v>11.8</v>
      </c>
      <c r="X188" s="66">
        <v>14.4</v>
      </c>
      <c r="Y188" s="66">
        <v>17.2</v>
      </c>
      <c r="Z188" s="66">
        <v>15.4</v>
      </c>
      <c r="AA188" s="66">
        <v>16.2</v>
      </c>
      <c r="AB188" s="66">
        <v>12.2</v>
      </c>
      <c r="AC188" s="109">
        <v>15.6</v>
      </c>
      <c r="AD188" s="66">
        <v>15.4</v>
      </c>
      <c r="AE188" s="66">
        <v>12</v>
      </c>
      <c r="AF188" s="66">
        <v>13.8</v>
      </c>
      <c r="AG188" s="66">
        <v>15.2</v>
      </c>
      <c r="AH188" s="66">
        <v>14.6</v>
      </c>
      <c r="AI188" s="66"/>
      <c r="AJ188" s="66"/>
      <c r="AK188" s="66"/>
      <c r="AL188" s="66"/>
      <c r="AM188" s="66"/>
      <c r="AN188" s="66"/>
      <c r="AO188" s="66"/>
      <c r="AP188" s="67">
        <f t="shared" si="11"/>
        <v>24</v>
      </c>
      <c r="AQ188" s="68">
        <f t="shared" si="12"/>
        <v>14.950000000000001</v>
      </c>
      <c r="AR188" s="68">
        <f>IFERROR(VLOOKUP(A188,Climatologia_TMAX!A:U,9+$E$2,FALSE),"")</f>
        <v>13.780248424174999</v>
      </c>
      <c r="AS188" s="68">
        <f t="shared" si="13"/>
        <v>1.1697515758250017</v>
      </c>
      <c r="AT188" s="74">
        <f t="shared" si="14"/>
        <v>17.2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18.2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30961</v>
      </c>
      <c r="AW188" s="69">
        <f t="shared" si="15"/>
        <v>-1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35.4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39004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36.6</v>
      </c>
      <c r="L191" s="66">
        <v>36</v>
      </c>
      <c r="M191" s="66">
        <v>36</v>
      </c>
      <c r="N191" s="66">
        <v>36.200000000000003</v>
      </c>
      <c r="O191" s="66">
        <v>39</v>
      </c>
      <c r="P191" s="66">
        <v>38</v>
      </c>
      <c r="Q191" s="66">
        <v>32</v>
      </c>
      <c r="R191" s="66"/>
      <c r="S191" s="66">
        <v>36.799999999999997</v>
      </c>
      <c r="T191" s="66">
        <v>36.6</v>
      </c>
      <c r="U191" s="66">
        <v>37</v>
      </c>
      <c r="V191" s="66">
        <v>32.799999999999997</v>
      </c>
      <c r="W191" s="66">
        <v>30</v>
      </c>
      <c r="X191" s="66">
        <v>35</v>
      </c>
      <c r="Y191" s="66">
        <v>36.4</v>
      </c>
      <c r="Z191" s="66">
        <v>36</v>
      </c>
      <c r="AA191" s="66">
        <v>35</v>
      </c>
      <c r="AB191" s="66">
        <v>36</v>
      </c>
      <c r="AC191" s="66">
        <v>37.4</v>
      </c>
      <c r="AD191" s="66">
        <v>37</v>
      </c>
      <c r="AE191" s="66">
        <v>34.6</v>
      </c>
      <c r="AF191" s="66">
        <v>37.799999999999997</v>
      </c>
      <c r="AG191" s="66">
        <v>37.200000000000003</v>
      </c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22</v>
      </c>
      <c r="AQ191" s="68">
        <f t="shared" si="12"/>
        <v>35.881818181818183</v>
      </c>
      <c r="AR191" s="68">
        <f>IFERROR(VLOOKUP(A191,Climatologia_TMAX!A:U,9+$E$2,FALSE),"")</f>
        <v>33.494984575088907</v>
      </c>
      <c r="AS191" s="68">
        <f t="shared" si="13"/>
        <v>2.3868336067292759</v>
      </c>
      <c r="AT191" s="74">
        <f t="shared" si="14"/>
        <v>39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45216</v>
      </c>
      <c r="AW191" s="69">
        <f t="shared" si="15"/>
        <v>0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30.4</v>
      </c>
      <c r="L192" s="66">
        <v>31</v>
      </c>
      <c r="M192" s="66">
        <v>29</v>
      </c>
      <c r="N192" s="66">
        <v>30.8</v>
      </c>
      <c r="O192" s="66">
        <v>31.4</v>
      </c>
      <c r="P192" s="66">
        <v>32</v>
      </c>
      <c r="Q192" s="66">
        <v>30.6</v>
      </c>
      <c r="R192" s="66">
        <v>30.2</v>
      </c>
      <c r="S192" s="66">
        <v>30</v>
      </c>
      <c r="T192" s="66">
        <v>29.6</v>
      </c>
      <c r="U192" s="66">
        <v>30.6</v>
      </c>
      <c r="V192" s="66">
        <v>28.8</v>
      </c>
      <c r="W192" s="66">
        <v>27</v>
      </c>
      <c r="X192" s="66">
        <v>31.8</v>
      </c>
      <c r="Y192" s="66">
        <v>32.200000000000003</v>
      </c>
      <c r="Z192" s="66">
        <v>32</v>
      </c>
      <c r="AA192" s="66">
        <v>29.6</v>
      </c>
      <c r="AB192" s="66">
        <v>24.2</v>
      </c>
      <c r="AC192" s="66">
        <v>30.8</v>
      </c>
      <c r="AD192" s="66">
        <v>32.200000000000003</v>
      </c>
      <c r="AE192" s="66">
        <v>27.6</v>
      </c>
      <c r="AF192" s="66">
        <v>30.8</v>
      </c>
      <c r="AG192" s="66">
        <v>30.4</v>
      </c>
      <c r="AH192" s="66">
        <v>28.8</v>
      </c>
      <c r="AI192" s="66"/>
      <c r="AJ192" s="66"/>
      <c r="AK192" s="66"/>
      <c r="AL192" s="66"/>
      <c r="AM192" s="66"/>
      <c r="AN192" s="66"/>
      <c r="AO192" s="66"/>
      <c r="AP192" s="67">
        <f t="shared" si="11"/>
        <v>24</v>
      </c>
      <c r="AQ192" s="68">
        <f t="shared" si="12"/>
        <v>30.074999999999999</v>
      </c>
      <c r="AR192" s="68">
        <f>IFERROR(VLOOKUP(A192,Climatologia_TMAX!A:U,9+$E$2,FALSE),"")</f>
        <v>29.990322580645159</v>
      </c>
      <c r="AS192" s="68">
        <f t="shared" si="13"/>
        <v>8.4677419354839856E-2</v>
      </c>
      <c r="AT192" s="74">
        <f t="shared" si="14"/>
        <v>32.200000000000003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33.799999999999997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42294</v>
      </c>
      <c r="AW192" s="69">
        <f t="shared" si="15"/>
        <v>-1.5999999999999943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32.6</v>
      </c>
      <c r="L193" s="66">
        <v>31</v>
      </c>
      <c r="M193" s="66">
        <v>30.6</v>
      </c>
      <c r="N193" s="66">
        <v>33.200000000000003</v>
      </c>
      <c r="O193" s="66">
        <v>35</v>
      </c>
      <c r="P193" s="66">
        <v>31.8</v>
      </c>
      <c r="Q193" s="66">
        <v>32.200000000000003</v>
      </c>
      <c r="R193" s="66">
        <v>33.6</v>
      </c>
      <c r="S193" s="66">
        <v>32</v>
      </c>
      <c r="T193" s="66">
        <v>30.8</v>
      </c>
      <c r="U193" s="113">
        <v>33.799999999999997</v>
      </c>
      <c r="V193" s="66">
        <v>30.4</v>
      </c>
      <c r="W193" s="66">
        <v>28.6</v>
      </c>
      <c r="X193" s="66">
        <v>33</v>
      </c>
      <c r="Y193" s="66">
        <v>35.200000000000003</v>
      </c>
      <c r="Z193" s="66">
        <v>30</v>
      </c>
      <c r="AA193" s="66">
        <v>30.8</v>
      </c>
      <c r="AB193" s="66">
        <v>27.8</v>
      </c>
      <c r="AC193" s="66">
        <v>31.4</v>
      </c>
      <c r="AD193" s="66">
        <v>33.799999999999997</v>
      </c>
      <c r="AE193" s="66">
        <v>32.200000000000003</v>
      </c>
      <c r="AF193" s="66">
        <v>33</v>
      </c>
      <c r="AG193" s="66">
        <v>34.200000000000003</v>
      </c>
      <c r="AH193" s="66">
        <v>29</v>
      </c>
      <c r="AI193" s="66"/>
      <c r="AJ193" s="66"/>
      <c r="AK193" s="66"/>
      <c r="AL193" s="66"/>
      <c r="AM193" s="66"/>
      <c r="AN193" s="66"/>
      <c r="AO193" s="66"/>
      <c r="AP193" s="67">
        <f t="shared" si="11"/>
        <v>24</v>
      </c>
      <c r="AQ193" s="68">
        <f t="shared" si="12"/>
        <v>31.916666666666668</v>
      </c>
      <c r="AR193" s="68">
        <f>IFERROR(VLOOKUP(A193,Climatologia_TMAX!A:U,9+$E$2,FALSE),"")</f>
        <v>31.708777208074711</v>
      </c>
      <c r="AS193" s="68">
        <f t="shared" si="13"/>
        <v>0.20788945859195707</v>
      </c>
      <c r="AT193" s="74">
        <f t="shared" si="14"/>
        <v>35.200000000000003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93" s="69">
        <f t="shared" si="15"/>
        <v>-0.79999999999999716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</v>
      </c>
      <c r="L194" s="66">
        <v>37.200000000000003</v>
      </c>
      <c r="M194" s="66">
        <v>34.200000000000003</v>
      </c>
      <c r="N194" s="66">
        <v>35</v>
      </c>
      <c r="O194" s="66">
        <v>35.4</v>
      </c>
      <c r="P194" s="66">
        <v>34.4</v>
      </c>
      <c r="Q194" s="66">
        <v>34</v>
      </c>
      <c r="R194" s="66">
        <v>36</v>
      </c>
      <c r="S194" s="66">
        <v>35.4</v>
      </c>
      <c r="T194" s="66">
        <v>32.4</v>
      </c>
      <c r="U194" s="66">
        <v>36.200000000000003</v>
      </c>
      <c r="V194" s="66">
        <v>31.2</v>
      </c>
      <c r="W194" s="66">
        <v>30.6</v>
      </c>
      <c r="X194" s="66">
        <v>34.4</v>
      </c>
      <c r="Y194" s="66">
        <v>35.4</v>
      </c>
      <c r="Z194" s="66">
        <v>34.6</v>
      </c>
      <c r="AA194" s="66">
        <v>32.6</v>
      </c>
      <c r="AB194" s="66">
        <v>34.200000000000003</v>
      </c>
      <c r="AC194" s="66">
        <v>35.200000000000003</v>
      </c>
      <c r="AD194" s="66">
        <v>35</v>
      </c>
      <c r="AE194" s="66">
        <v>34.4</v>
      </c>
      <c r="AF194" s="66">
        <v>34.4</v>
      </c>
      <c r="AG194" s="66">
        <v>35</v>
      </c>
      <c r="AH194" s="66">
        <v>36</v>
      </c>
      <c r="AI194" s="66"/>
      <c r="AJ194" s="66"/>
      <c r="AK194" s="66"/>
      <c r="AL194" s="66"/>
      <c r="AM194" s="66"/>
      <c r="AN194" s="66"/>
      <c r="AO194" s="66"/>
      <c r="AP194" s="67">
        <f t="shared" si="11"/>
        <v>24</v>
      </c>
      <c r="AQ194" s="68">
        <f t="shared" si="12"/>
        <v>34.508333333333333</v>
      </c>
      <c r="AR194" s="68">
        <f>IFERROR(VLOOKUP(A194,Climatologia_TMAX!A:U,9+$E$2,FALSE),"")</f>
        <v>32.4496281338239</v>
      </c>
      <c r="AS194" s="68">
        <f t="shared" si="13"/>
        <v>2.0587051995094328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38.799999999999997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36448</v>
      </c>
      <c r="AW194" s="69">
        <f t="shared" si="15"/>
        <v>-1.5999999999999943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32.251906288444609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36.4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27.45305329187455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32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32.200000000000003</v>
      </c>
      <c r="L197" s="66">
        <v>31.2</v>
      </c>
      <c r="M197" s="66">
        <v>32.4</v>
      </c>
      <c r="N197" s="66">
        <v>33.6</v>
      </c>
      <c r="O197" s="66">
        <v>34.200000000000003</v>
      </c>
      <c r="P197" s="66">
        <v>33.6</v>
      </c>
      <c r="Q197" s="66"/>
      <c r="R197" s="66">
        <v>34.200000000000003</v>
      </c>
      <c r="S197" s="66">
        <v>32.799999999999997</v>
      </c>
      <c r="T197" s="66">
        <v>31.8</v>
      </c>
      <c r="U197" s="66">
        <v>34.200000000000003</v>
      </c>
      <c r="V197" s="66">
        <v>31.6</v>
      </c>
      <c r="W197" s="66">
        <v>27</v>
      </c>
      <c r="X197" s="66">
        <v>33.200000000000003</v>
      </c>
      <c r="Y197" s="66">
        <v>34.799999999999997</v>
      </c>
      <c r="Z197" s="66">
        <v>32.799999999999997</v>
      </c>
      <c r="AA197" s="66">
        <v>31.8</v>
      </c>
      <c r="AB197" s="66">
        <v>29.8</v>
      </c>
      <c r="AC197" s="66">
        <v>32.4</v>
      </c>
      <c r="AD197" s="66">
        <v>34.200000000000003</v>
      </c>
      <c r="AE197" s="66">
        <v>32.200000000000003</v>
      </c>
      <c r="AF197" s="66">
        <v>31.8</v>
      </c>
      <c r="AG197" s="66">
        <v>33.4</v>
      </c>
      <c r="AH197" s="66">
        <v>29.8</v>
      </c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23</v>
      </c>
      <c r="AQ197" s="68">
        <f t="shared" ref="AQ197:AQ260" si="17">IF(AP197&gt;14,AVERAGE(K197:AO197),"")</f>
        <v>32.391304347826086</v>
      </c>
      <c r="AR197" s="68">
        <f>IFERROR(VLOOKUP(A197,Climatologia_TMAX!A:U,9+$E$2,FALSE),"")</f>
        <v>32.510170070423683</v>
      </c>
      <c r="AS197" s="68">
        <f t="shared" ref="AS197:AS260" si="18">IF(OR(AQ197="",AR197=""),"",IFERROR(AQ197-AR197,""))</f>
        <v>-0.11886572259759731</v>
      </c>
      <c r="AT197" s="74">
        <f t="shared" ref="AT197:AT260" si="19">IF(COUNT(K197:AO197)=0,"",MAX(K197:AO197))</f>
        <v>34.799999999999997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36.6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45948</v>
      </c>
      <c r="AW197" s="69">
        <f t="shared" ref="AW197:AW260" si="20">IF(OR(AT197="",AU197=""),"NA",IFERROR(AT197-AU197,"NA"))</f>
        <v>-1.8000000000000043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30.425745453734439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35.4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39008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</v>
      </c>
      <c r="L199" s="66">
        <v>34</v>
      </c>
      <c r="M199" s="66">
        <v>33.799999999999997</v>
      </c>
      <c r="N199" s="66">
        <v>34.200000000000003</v>
      </c>
      <c r="O199" s="66">
        <v>35.4</v>
      </c>
      <c r="P199" s="66">
        <v>35.200000000000003</v>
      </c>
      <c r="Q199" s="66">
        <v>34.799999999999997</v>
      </c>
      <c r="R199" s="66">
        <v>33.200000000000003</v>
      </c>
      <c r="S199" s="66">
        <v>32.4</v>
      </c>
      <c r="T199" s="66">
        <v>32.799999999999997</v>
      </c>
      <c r="U199" s="66">
        <v>35</v>
      </c>
      <c r="V199" s="66">
        <v>30</v>
      </c>
      <c r="W199" s="66">
        <v>33</v>
      </c>
      <c r="X199" s="66">
        <v>34</v>
      </c>
      <c r="Y199" s="66">
        <v>35.6</v>
      </c>
      <c r="Z199" s="66">
        <v>34.6</v>
      </c>
      <c r="AA199" s="66">
        <v>32.4</v>
      </c>
      <c r="AB199" s="66">
        <v>27</v>
      </c>
      <c r="AC199" s="66">
        <v>33</v>
      </c>
      <c r="AD199" s="66">
        <v>35</v>
      </c>
      <c r="AE199" s="66">
        <v>31.8</v>
      </c>
      <c r="AF199" s="66">
        <v>34.799999999999997</v>
      </c>
      <c r="AG199" s="66">
        <v>35.200000000000003</v>
      </c>
      <c r="AH199" s="66">
        <v>31.8</v>
      </c>
      <c r="AI199" s="66"/>
      <c r="AJ199" s="66"/>
      <c r="AK199" s="66"/>
      <c r="AL199" s="66"/>
      <c r="AM199" s="66"/>
      <c r="AN199" s="66"/>
      <c r="AO199" s="66"/>
      <c r="AP199" s="67">
        <f t="shared" si="16"/>
        <v>24</v>
      </c>
      <c r="AQ199" s="68">
        <f t="shared" si="17"/>
        <v>33.499999999999993</v>
      </c>
      <c r="AR199" s="68">
        <f>IFERROR(VLOOKUP(A199,Climatologia_TMAX!A:U,9+$E$2,FALSE),"")</f>
        <v>31.034799102674029</v>
      </c>
      <c r="AS199" s="68">
        <f t="shared" si="18"/>
        <v>2.465200897325964</v>
      </c>
      <c r="AT199" s="74">
        <f t="shared" si="19"/>
        <v>35.6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38.6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33905</v>
      </c>
      <c r="AW199" s="69">
        <f t="shared" si="20"/>
        <v>-3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21.6</v>
      </c>
      <c r="L200" s="66">
        <v>19</v>
      </c>
      <c r="M200" s="66">
        <v>17.399999999999999</v>
      </c>
      <c r="N200" s="66">
        <v>19.600000000000001</v>
      </c>
      <c r="O200" s="66">
        <v>22</v>
      </c>
      <c r="P200" s="66">
        <v>20.399999999999999</v>
      </c>
      <c r="Q200" s="66">
        <v>17</v>
      </c>
      <c r="R200" s="66">
        <v>18</v>
      </c>
      <c r="S200" s="66">
        <v>20.8</v>
      </c>
      <c r="T200" s="66">
        <v>18</v>
      </c>
      <c r="U200" s="66">
        <v>19</v>
      </c>
      <c r="V200" s="66">
        <v>16</v>
      </c>
      <c r="W200" s="66">
        <v>16.8</v>
      </c>
      <c r="X200" s="66">
        <v>19.8</v>
      </c>
      <c r="Y200" s="66">
        <v>23</v>
      </c>
      <c r="Z200" s="66">
        <v>21</v>
      </c>
      <c r="AA200" s="66">
        <v>18</v>
      </c>
      <c r="AB200" s="66">
        <v>18.8</v>
      </c>
      <c r="AC200" s="66">
        <v>20.399999999999999</v>
      </c>
      <c r="AD200" s="66">
        <v>21</v>
      </c>
      <c r="AE200" s="66">
        <v>18.399999999999999</v>
      </c>
      <c r="AF200" s="66">
        <v>21</v>
      </c>
      <c r="AG200" s="66">
        <v>20.6</v>
      </c>
      <c r="AH200" s="66">
        <v>20.6</v>
      </c>
      <c r="AI200" s="66"/>
      <c r="AJ200" s="66"/>
      <c r="AK200" s="66"/>
      <c r="AL200" s="66"/>
      <c r="AM200" s="66"/>
      <c r="AN200" s="66"/>
      <c r="AO200" s="66"/>
      <c r="AP200" s="67">
        <f t="shared" si="16"/>
        <v>24</v>
      </c>
      <c r="AQ200" s="68">
        <f t="shared" si="17"/>
        <v>19.508333333333336</v>
      </c>
      <c r="AR200" s="68">
        <f>IFERROR(VLOOKUP(A200,Climatologia_TMAX!A:U,9+$E$2,FALSE),"")</f>
        <v>17.850480506461221</v>
      </c>
      <c r="AS200" s="68">
        <f t="shared" si="18"/>
        <v>1.6578528268721158</v>
      </c>
      <c r="AT200" s="74">
        <f t="shared" si="19"/>
        <v>23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22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43028</v>
      </c>
      <c r="AW200" s="69">
        <f t="shared" si="20"/>
        <v>1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21.873631480036948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30225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25.391132396764579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42659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23.4</v>
      </c>
      <c r="L203" s="66">
        <v>21.6</v>
      </c>
      <c r="M203" s="66">
        <v>21</v>
      </c>
      <c r="N203" s="66">
        <v>24.2</v>
      </c>
      <c r="O203" s="66">
        <v>23.8</v>
      </c>
      <c r="P203" s="66">
        <v>24.2</v>
      </c>
      <c r="Q203" s="66">
        <v>21.2</v>
      </c>
      <c r="R203" s="66">
        <v>23</v>
      </c>
      <c r="S203" s="66">
        <v>22.8</v>
      </c>
      <c r="T203" s="66">
        <v>20.8</v>
      </c>
      <c r="U203" s="66">
        <v>22.4</v>
      </c>
      <c r="V203" s="66">
        <v>19.399999999999999</v>
      </c>
      <c r="W203" s="66">
        <v>17.8</v>
      </c>
      <c r="X203" s="66">
        <v>22.6</v>
      </c>
      <c r="Y203" s="66">
        <v>21.4</v>
      </c>
      <c r="Z203" s="66">
        <v>24.2</v>
      </c>
      <c r="AA203" s="66">
        <v>21.2</v>
      </c>
      <c r="AB203" s="66">
        <v>19.399999999999999</v>
      </c>
      <c r="AC203" s="66">
        <v>22.8</v>
      </c>
      <c r="AD203" s="66">
        <v>23.2</v>
      </c>
      <c r="AE203" s="66">
        <v>19.2</v>
      </c>
      <c r="AF203" s="66">
        <v>23.8</v>
      </c>
      <c r="AG203" s="66">
        <v>22.6</v>
      </c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23</v>
      </c>
      <c r="AQ203" s="68">
        <f t="shared" si="17"/>
        <v>22</v>
      </c>
      <c r="AR203" s="68">
        <f>IFERROR(VLOOKUP(A203,Climatologia_TMAX!A:U,9+$E$2,FALSE),"")</f>
        <v>20.117016293630389</v>
      </c>
      <c r="AS203" s="68">
        <f t="shared" si="18"/>
        <v>1.8829837063696111</v>
      </c>
      <c r="AT203" s="74">
        <f t="shared" si="19"/>
        <v>24.2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24.8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203" s="69">
        <f t="shared" si="20"/>
        <v>-0.60000000000000142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26.4</v>
      </c>
      <c r="L205" s="66">
        <v>26</v>
      </c>
      <c r="M205" s="66">
        <v>26.2</v>
      </c>
      <c r="N205" s="66">
        <v>27.4</v>
      </c>
      <c r="O205" s="66">
        <v>28</v>
      </c>
      <c r="P205" s="66">
        <v>27.4</v>
      </c>
      <c r="Q205" s="66">
        <v>27.2</v>
      </c>
      <c r="R205" s="66">
        <v>26</v>
      </c>
      <c r="S205" s="66">
        <v>25.8</v>
      </c>
      <c r="T205" s="66">
        <v>26</v>
      </c>
      <c r="U205" s="66">
        <v>28</v>
      </c>
      <c r="V205" s="66">
        <v>25</v>
      </c>
      <c r="W205" s="66">
        <v>24</v>
      </c>
      <c r="X205" s="66">
        <v>28</v>
      </c>
      <c r="Y205" s="66">
        <v>29</v>
      </c>
      <c r="Z205" s="66">
        <v>27.6</v>
      </c>
      <c r="AA205" s="66">
        <v>26</v>
      </c>
      <c r="AB205" s="66">
        <v>23</v>
      </c>
      <c r="AC205" s="66">
        <v>27</v>
      </c>
      <c r="AD205" s="66">
        <v>28</v>
      </c>
      <c r="AE205" s="66">
        <v>24.2</v>
      </c>
      <c r="AF205" s="66">
        <v>28</v>
      </c>
      <c r="AG205" s="66">
        <v>28.8</v>
      </c>
      <c r="AH205" s="66">
        <v>26</v>
      </c>
      <c r="AI205" s="66"/>
      <c r="AJ205" s="66"/>
      <c r="AK205" s="66"/>
      <c r="AL205" s="66"/>
      <c r="AM205" s="66"/>
      <c r="AN205" s="66"/>
      <c r="AO205" s="66"/>
      <c r="AP205" s="67">
        <f t="shared" si="16"/>
        <v>24</v>
      </c>
      <c r="AQ205" s="68">
        <f t="shared" si="17"/>
        <v>26.625</v>
      </c>
      <c r="AR205" s="68">
        <f>IFERROR(VLOOKUP(A205,Climatologia_TMAX!A:U,9+$E$2,FALSE),"")</f>
        <v>25.961271889400919</v>
      </c>
      <c r="AS205" s="68">
        <f t="shared" si="18"/>
        <v>0.66372811059908088</v>
      </c>
      <c r="AT205" s="74">
        <f t="shared" si="19"/>
        <v>29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29.2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40094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33.845468683277971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25.379019028916449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30.2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33</v>
      </c>
      <c r="L208" s="66">
        <v>33.200000000000003</v>
      </c>
      <c r="M208" s="66">
        <v>30</v>
      </c>
      <c r="N208" s="66">
        <v>34.200000000000003</v>
      </c>
      <c r="O208" s="66">
        <v>35.4</v>
      </c>
      <c r="P208" s="66">
        <v>31.8</v>
      </c>
      <c r="Q208" s="66">
        <v>32.200000000000003</v>
      </c>
      <c r="R208" s="66">
        <v>32.4</v>
      </c>
      <c r="S208" s="66">
        <v>32.200000000000003</v>
      </c>
      <c r="T208" s="66">
        <v>31.2</v>
      </c>
      <c r="U208" s="66">
        <v>33</v>
      </c>
      <c r="V208" s="66">
        <v>29.2</v>
      </c>
      <c r="W208" s="66">
        <v>27.2</v>
      </c>
      <c r="X208" s="66">
        <v>32.799999999999997</v>
      </c>
      <c r="Y208" s="66">
        <v>33.799999999999997</v>
      </c>
      <c r="Z208" s="66">
        <v>33</v>
      </c>
      <c r="AA208" s="66">
        <v>32.6</v>
      </c>
      <c r="AB208" s="66">
        <v>28.6</v>
      </c>
      <c r="AC208" s="66">
        <v>32.4</v>
      </c>
      <c r="AD208" s="66">
        <v>33.4</v>
      </c>
      <c r="AE208" s="66">
        <v>29.8</v>
      </c>
      <c r="AF208" s="66">
        <v>32.799999999999997</v>
      </c>
      <c r="AG208" s="66">
        <v>34.4</v>
      </c>
      <c r="AH208" s="66">
        <v>32.200000000000003</v>
      </c>
      <c r="AI208" s="66"/>
      <c r="AJ208" s="66"/>
      <c r="AK208" s="66"/>
      <c r="AL208" s="66"/>
      <c r="AM208" s="66"/>
      <c r="AN208" s="66"/>
      <c r="AO208" s="66"/>
      <c r="AP208" s="67">
        <f t="shared" si="16"/>
        <v>24</v>
      </c>
      <c r="AQ208" s="68">
        <f t="shared" si="17"/>
        <v>32.11666666666666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45212</v>
      </c>
      <c r="AW208" s="69">
        <f t="shared" si="20"/>
        <v>0.39999999999999858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23.4</v>
      </c>
      <c r="M209" s="66">
        <v>24.6</v>
      </c>
      <c r="N209" s="66">
        <v>26.4</v>
      </c>
      <c r="O209" s="66">
        <v>25.2</v>
      </c>
      <c r="P209" s="66">
        <v>26.4</v>
      </c>
      <c r="Q209" s="66">
        <v>22.8</v>
      </c>
      <c r="R209" s="66">
        <v>25</v>
      </c>
      <c r="S209" s="66">
        <v>25.2</v>
      </c>
      <c r="T209" s="66">
        <v>25.8</v>
      </c>
      <c r="U209" s="66">
        <v>26.8</v>
      </c>
      <c r="V209" s="66">
        <v>24.2</v>
      </c>
      <c r="W209" s="66">
        <v>24</v>
      </c>
      <c r="X209" s="66">
        <v>24</v>
      </c>
      <c r="Y209" s="66">
        <v>26.4</v>
      </c>
      <c r="Z209" s="66">
        <v>26.6</v>
      </c>
      <c r="AA209" s="66">
        <v>24.6</v>
      </c>
      <c r="AB209" s="66">
        <v>24</v>
      </c>
      <c r="AC209" s="66">
        <v>27.6</v>
      </c>
      <c r="AD209" s="66">
        <v>25</v>
      </c>
      <c r="AE209" s="66">
        <v>23.2</v>
      </c>
      <c r="AF209" s="66">
        <v>25.2</v>
      </c>
      <c r="AG209" s="66">
        <v>27.2</v>
      </c>
      <c r="AH209" s="66">
        <v>27.2</v>
      </c>
      <c r="AI209" s="66"/>
      <c r="AJ209" s="66"/>
      <c r="AK209" s="66"/>
      <c r="AL209" s="66"/>
      <c r="AM209" s="66"/>
      <c r="AN209" s="66"/>
      <c r="AO209" s="66"/>
      <c r="AP209" s="67">
        <f t="shared" si="16"/>
        <v>24</v>
      </c>
      <c r="AQ209" s="68">
        <f t="shared" si="17"/>
        <v>25.308333333333341</v>
      </c>
      <c r="AR209" s="68">
        <f>IFERROR(VLOOKUP(A209,Climatologia_TMAX!A:U,9+$E$2,FALSE),"")</f>
        <v>23.78862519201229</v>
      </c>
      <c r="AS209" s="68">
        <f t="shared" si="18"/>
        <v>1.5197081413210505</v>
      </c>
      <c r="AT209" s="74">
        <f t="shared" si="19"/>
        <v>27.6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42297</v>
      </c>
      <c r="AW209" s="69">
        <f t="shared" si="20"/>
        <v>-1.3999999999999986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31.4</v>
      </c>
      <c r="M210" s="66">
        <v>31.4</v>
      </c>
      <c r="N210" s="66">
        <v>31.6</v>
      </c>
      <c r="O210" s="66">
        <v>32.6</v>
      </c>
      <c r="P210" s="66">
        <v>32</v>
      </c>
      <c r="Q210" s="66">
        <v>29.4</v>
      </c>
      <c r="R210" s="66">
        <v>31.2</v>
      </c>
      <c r="S210" s="66">
        <v>30.6</v>
      </c>
      <c r="T210" s="66">
        <v>30.4</v>
      </c>
      <c r="U210" s="66">
        <v>30.2</v>
      </c>
      <c r="V210" s="66">
        <v>30.2</v>
      </c>
      <c r="W210" s="66">
        <v>25.2</v>
      </c>
      <c r="X210" s="66">
        <v>29.6</v>
      </c>
      <c r="Y210" s="66">
        <v>29.8</v>
      </c>
      <c r="Z210" s="66">
        <v>30.6</v>
      </c>
      <c r="AA210" s="66">
        <v>29</v>
      </c>
      <c r="AB210" s="66">
        <v>28.8</v>
      </c>
      <c r="AC210" s="66">
        <v>31.4</v>
      </c>
      <c r="AD210" s="66">
        <v>30.8</v>
      </c>
      <c r="AE210" s="66">
        <v>28.2</v>
      </c>
      <c r="AF210" s="66">
        <v>31.2</v>
      </c>
      <c r="AG210" s="66">
        <v>31.8</v>
      </c>
      <c r="AH210" s="66">
        <v>29</v>
      </c>
      <c r="AI210" s="66"/>
      <c r="AJ210" s="66"/>
      <c r="AK210" s="66"/>
      <c r="AL210" s="66"/>
      <c r="AM210" s="66"/>
      <c r="AN210" s="66"/>
      <c r="AO210" s="66"/>
      <c r="AP210" s="67">
        <f t="shared" si="16"/>
        <v>24</v>
      </c>
      <c r="AQ210" s="68">
        <f t="shared" si="17"/>
        <v>30.324999999999992</v>
      </c>
      <c r="AR210" s="68">
        <f>IFERROR(VLOOKUP(A210,Climatologia_TMAX!A:U,9+$E$2,FALSE),"")</f>
        <v>28.468227660363361</v>
      </c>
      <c r="AS210" s="68">
        <f t="shared" si="18"/>
        <v>1.8567723396366311</v>
      </c>
      <c r="AT210" s="74">
        <f t="shared" si="19"/>
        <v>32.6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32807</v>
      </c>
      <c r="AW210" s="69">
        <f t="shared" si="20"/>
        <v>-0.39999999999999858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28.451550360075391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32.4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32.169591395736752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31.8</v>
      </c>
      <c r="L214" s="66">
        <v>29.2</v>
      </c>
      <c r="M214" s="66">
        <v>31.4</v>
      </c>
      <c r="N214" s="66">
        <v>32.6</v>
      </c>
      <c r="O214" s="66">
        <v>31.6</v>
      </c>
      <c r="P214" s="66">
        <v>32</v>
      </c>
      <c r="Q214" s="66">
        <v>30</v>
      </c>
      <c r="R214" s="66">
        <v>31.2</v>
      </c>
      <c r="S214" s="66">
        <v>31.6</v>
      </c>
      <c r="T214" s="109">
        <v>32</v>
      </c>
      <c r="U214" s="66"/>
      <c r="V214" s="66"/>
      <c r="W214" s="66">
        <v>29.4</v>
      </c>
      <c r="X214" s="66">
        <v>32.6</v>
      </c>
      <c r="Y214" s="66">
        <v>31.2</v>
      </c>
      <c r="Z214" s="66">
        <v>32.200000000000003</v>
      </c>
      <c r="AA214" s="66">
        <v>30.6</v>
      </c>
      <c r="AB214" s="66">
        <v>28.6</v>
      </c>
      <c r="AC214" s="66">
        <v>31.8</v>
      </c>
      <c r="AD214" s="66">
        <v>31</v>
      </c>
      <c r="AE214" s="66">
        <v>32</v>
      </c>
      <c r="AF214" s="66">
        <v>33</v>
      </c>
      <c r="AG214" s="66">
        <v>28</v>
      </c>
      <c r="AH214" s="66">
        <v>28</v>
      </c>
      <c r="AI214" s="66"/>
      <c r="AJ214" s="66"/>
      <c r="AK214" s="66"/>
      <c r="AL214" s="66"/>
      <c r="AM214" s="66"/>
      <c r="AN214" s="66"/>
      <c r="AO214" s="66"/>
      <c r="AP214" s="67">
        <f t="shared" si="16"/>
        <v>22</v>
      </c>
      <c r="AQ214" s="68">
        <f t="shared" si="17"/>
        <v>30.990909090909089</v>
      </c>
      <c r="AR214" s="68">
        <f>IFERROR(VLOOKUP(A214,Climatologia_TMAX!A:U,9+$E$2,FALSE),"")</f>
        <v>30.301524203387299</v>
      </c>
      <c r="AS214" s="68">
        <f t="shared" si="18"/>
        <v>0.68938488752178984</v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45568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33.090682375022418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37.4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37909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27.8</v>
      </c>
      <c r="L216" s="66">
        <v>27.2</v>
      </c>
      <c r="M216" s="66">
        <v>27.2</v>
      </c>
      <c r="N216" s="66">
        <v>27.8</v>
      </c>
      <c r="O216" s="66">
        <v>27.4</v>
      </c>
      <c r="P216" s="66">
        <v>26.2</v>
      </c>
      <c r="Q216" s="66">
        <v>26.8</v>
      </c>
      <c r="R216" s="66">
        <v>26</v>
      </c>
      <c r="S216" s="66">
        <v>26.2</v>
      </c>
      <c r="T216" s="66">
        <v>26.2</v>
      </c>
      <c r="U216" s="66">
        <v>26.4</v>
      </c>
      <c r="V216" s="66">
        <v>26.6</v>
      </c>
      <c r="W216" s="66">
        <v>26.4</v>
      </c>
      <c r="X216" s="66">
        <v>27.8</v>
      </c>
      <c r="Y216" s="66">
        <v>28</v>
      </c>
      <c r="Z216" s="66">
        <v>26.4</v>
      </c>
      <c r="AA216" s="66">
        <v>25.8</v>
      </c>
      <c r="AB216" s="66">
        <v>24</v>
      </c>
      <c r="AC216" s="66">
        <v>26.2</v>
      </c>
      <c r="AD216" s="66">
        <v>26.2</v>
      </c>
      <c r="AE216" s="66">
        <v>26.2</v>
      </c>
      <c r="AF216" s="66">
        <v>26.8</v>
      </c>
      <c r="AG216" s="66">
        <v>26.8</v>
      </c>
      <c r="AH216" s="66">
        <v>26.4</v>
      </c>
      <c r="AI216" s="66"/>
      <c r="AJ216" s="66"/>
      <c r="AK216" s="66"/>
      <c r="AL216" s="66"/>
      <c r="AM216" s="66"/>
      <c r="AN216" s="66"/>
      <c r="AO216" s="66"/>
      <c r="AP216" s="67">
        <f t="shared" si="16"/>
        <v>24</v>
      </c>
      <c r="AQ216" s="68">
        <f t="shared" si="17"/>
        <v>26.616666666666664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28.8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40844</v>
      </c>
      <c r="AW216" s="69">
        <f t="shared" si="20"/>
        <v>-0.80000000000000071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23.6</v>
      </c>
      <c r="M217" s="66">
        <v>22.8</v>
      </c>
      <c r="N217" s="66">
        <v>25.8</v>
      </c>
      <c r="O217" s="66">
        <v>26.6</v>
      </c>
      <c r="P217" s="66">
        <v>25</v>
      </c>
      <c r="Q217" s="66">
        <v>25</v>
      </c>
      <c r="R217" s="66">
        <v>23.8</v>
      </c>
      <c r="S217" s="66">
        <v>23.8</v>
      </c>
      <c r="T217" s="66">
        <v>24.6</v>
      </c>
      <c r="U217" s="66">
        <v>25.6</v>
      </c>
      <c r="V217" s="66">
        <v>25.6</v>
      </c>
      <c r="W217" s="66">
        <v>25.6</v>
      </c>
      <c r="X217" s="66">
        <v>25.8</v>
      </c>
      <c r="Y217" s="66">
        <v>26.6</v>
      </c>
      <c r="Z217" s="66">
        <v>25.8</v>
      </c>
      <c r="AA217" s="66">
        <v>23.8</v>
      </c>
      <c r="AB217" s="66">
        <v>22.4</v>
      </c>
      <c r="AC217" s="66">
        <v>24.6</v>
      </c>
      <c r="AD217" s="66">
        <v>25.2</v>
      </c>
      <c r="AE217" s="66">
        <v>22.8</v>
      </c>
      <c r="AF217" s="66">
        <v>25</v>
      </c>
      <c r="AG217" s="66">
        <v>26.2</v>
      </c>
      <c r="AH217" s="66">
        <v>24.2</v>
      </c>
      <c r="AI217" s="66"/>
      <c r="AJ217" s="66"/>
      <c r="AK217" s="66"/>
      <c r="AL217" s="66"/>
      <c r="AM217" s="66"/>
      <c r="AN217" s="66"/>
      <c r="AO217" s="66"/>
      <c r="AP217" s="67">
        <f t="shared" si="16"/>
        <v>24</v>
      </c>
      <c r="AQ217" s="68">
        <f t="shared" si="17"/>
        <v>24.858333333333338</v>
      </c>
      <c r="AR217" s="68">
        <f>IFERROR(VLOOKUP(A217,Climatologia_TMAX!A:U,9+$E$2,FALSE),"")</f>
        <v>23.138800459370319</v>
      </c>
      <c r="AS217" s="68">
        <f t="shared" si="18"/>
        <v>1.7195328739630185</v>
      </c>
      <c r="AT217" s="74">
        <f t="shared" si="19"/>
        <v>26.6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37545</v>
      </c>
      <c r="AW217" s="69">
        <f t="shared" si="20"/>
        <v>-1.3999999999999986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29.720161290322579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32053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29.494924916573972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20.613155351265601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25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30254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/>
      <c r="L221" s="66"/>
      <c r="M221" s="109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0</v>
      </c>
      <c r="AQ221" s="68" t="str">
        <f t="shared" si="17"/>
        <v/>
      </c>
      <c r="AR221" s="68">
        <f>IFERROR(VLOOKUP(A221,Climatologia_TMAX!A:U,9+$E$2,FALSE),"")</f>
        <v>15.85178369534639</v>
      </c>
      <c r="AS221" s="68" t="str">
        <f t="shared" si="18"/>
        <v/>
      </c>
      <c r="AT221" s="74" t="str">
        <f t="shared" si="19"/>
        <v/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44114</v>
      </c>
      <c r="AW221" s="69" t="str">
        <f t="shared" si="20"/>
        <v>NA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22</v>
      </c>
      <c r="M222" s="66">
        <v>19.2</v>
      </c>
      <c r="N222" s="66">
        <v>24</v>
      </c>
      <c r="O222" s="66">
        <v>24</v>
      </c>
      <c r="P222" s="66">
        <v>22</v>
      </c>
      <c r="Q222" s="66">
        <v>23.2</v>
      </c>
      <c r="R222" s="66">
        <v>23</v>
      </c>
      <c r="S222" s="66">
        <v>24.4</v>
      </c>
      <c r="T222" s="66">
        <v>22</v>
      </c>
      <c r="U222" s="66">
        <v>22.8</v>
      </c>
      <c r="V222" s="66">
        <v>19.600000000000001</v>
      </c>
      <c r="W222" s="66">
        <v>18.8</v>
      </c>
      <c r="X222" s="66">
        <v>24.2</v>
      </c>
      <c r="Y222" s="66">
        <v>26.4</v>
      </c>
      <c r="Z222" s="66">
        <v>20</v>
      </c>
      <c r="AA222" s="109">
        <v>22</v>
      </c>
      <c r="AB222" s="66">
        <v>22</v>
      </c>
      <c r="AC222" s="66">
        <v>19</v>
      </c>
      <c r="AD222" s="66">
        <v>22.4</v>
      </c>
      <c r="AE222" s="66">
        <v>17.8</v>
      </c>
      <c r="AF222" s="66">
        <v>24</v>
      </c>
      <c r="AG222" s="66">
        <v>24.4</v>
      </c>
      <c r="AH222" s="66">
        <v>23.4</v>
      </c>
      <c r="AI222" s="66"/>
      <c r="AJ222" s="66"/>
      <c r="AK222" s="66"/>
      <c r="AL222" s="66"/>
      <c r="AM222" s="66"/>
      <c r="AN222" s="66"/>
      <c r="AO222" s="66"/>
      <c r="AP222" s="67">
        <f t="shared" si="16"/>
        <v>24</v>
      </c>
      <c r="AQ222" s="68">
        <f t="shared" si="17"/>
        <v>22.274999999999995</v>
      </c>
      <c r="AR222" s="68">
        <f>IFERROR(VLOOKUP(A222,Climatologia_TMAX!A:U,9+$E$2,FALSE),"")</f>
        <v>21.531607341490549</v>
      </c>
      <c r="AS222" s="68">
        <f t="shared" si="18"/>
        <v>0.74339265850944614</v>
      </c>
      <c r="AT222" s="74">
        <f t="shared" si="19"/>
        <v>26.4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31.2</v>
      </c>
      <c r="L224" s="66">
        <v>30.2</v>
      </c>
      <c r="M224" s="66">
        <v>30.2</v>
      </c>
      <c r="N224" s="66">
        <v>32.4</v>
      </c>
      <c r="O224" s="66">
        <v>32.200000000000003</v>
      </c>
      <c r="P224" s="66">
        <v>32.200000000000003</v>
      </c>
      <c r="Q224" s="66">
        <v>31</v>
      </c>
      <c r="R224" s="66">
        <v>30.6</v>
      </c>
      <c r="S224" s="66">
        <v>31.6</v>
      </c>
      <c r="T224" s="66">
        <v>29</v>
      </c>
      <c r="U224" s="66">
        <v>29.6</v>
      </c>
      <c r="V224" s="66">
        <v>27.8</v>
      </c>
      <c r="W224" s="66">
        <v>28.6</v>
      </c>
      <c r="X224" s="66">
        <v>30.6</v>
      </c>
      <c r="Y224" s="66">
        <v>34.200000000000003</v>
      </c>
      <c r="Z224" s="66">
        <v>30.6</v>
      </c>
      <c r="AA224" s="66">
        <v>30</v>
      </c>
      <c r="AB224" s="66">
        <v>30</v>
      </c>
      <c r="AC224" s="66"/>
      <c r="AD224" s="66"/>
      <c r="AE224" s="66">
        <v>27</v>
      </c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19</v>
      </c>
      <c r="AQ224" s="68">
        <f t="shared" si="17"/>
        <v>30.473684210526315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33.700000000000003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30595</v>
      </c>
      <c r="AW224" s="69">
        <f t="shared" si="20"/>
        <v>0.5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23.34759961873382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29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30.91332943036122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>
        <v>31.4</v>
      </c>
      <c r="L229" s="66">
        <v>30.6</v>
      </c>
      <c r="M229" s="66">
        <v>29.8</v>
      </c>
      <c r="N229" s="66">
        <v>30.4</v>
      </c>
      <c r="O229" s="66">
        <v>31.8</v>
      </c>
      <c r="P229" s="66">
        <v>30.2</v>
      </c>
      <c r="Q229" s="66">
        <v>31.4</v>
      </c>
      <c r="R229" s="66">
        <v>29.6</v>
      </c>
      <c r="S229" s="66">
        <v>32.4</v>
      </c>
      <c r="T229" s="66">
        <v>31.8</v>
      </c>
      <c r="U229" s="66">
        <v>29.4</v>
      </c>
      <c r="V229" s="66">
        <v>28.2</v>
      </c>
      <c r="W229" s="66">
        <v>29.8</v>
      </c>
      <c r="X229" s="66">
        <v>32.4</v>
      </c>
      <c r="Y229" s="66">
        <v>33.6</v>
      </c>
      <c r="Z229" s="66">
        <v>30.8</v>
      </c>
      <c r="AA229" s="66">
        <v>29.4</v>
      </c>
      <c r="AB229" s="66">
        <v>30.6</v>
      </c>
      <c r="AC229" s="109">
        <v>29.8</v>
      </c>
      <c r="AD229" s="66">
        <v>31.2</v>
      </c>
      <c r="AE229" s="66">
        <v>30.6</v>
      </c>
      <c r="AF229" s="66">
        <v>31.8</v>
      </c>
      <c r="AG229" s="66">
        <v>33.4</v>
      </c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23</v>
      </c>
      <c r="AQ229" s="68">
        <f t="shared" si="17"/>
        <v>30.88695652173913</v>
      </c>
      <c r="AR229" s="68">
        <f>IFERROR(VLOOKUP(A229,Climatologia_TMAX!A:U,9+$E$2,FALSE),"")</f>
        <v>29.494387096774201</v>
      </c>
      <c r="AS229" s="68">
        <f t="shared" si="18"/>
        <v>1.392569424964929</v>
      </c>
      <c r="AT229" s="74">
        <f t="shared" si="19"/>
        <v>33.6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35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45208</v>
      </c>
      <c r="AW229" s="69">
        <f t="shared" si="20"/>
        <v>-1.3999999999999986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23.464424836532071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40088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32.200000000000003</v>
      </c>
      <c r="L231" s="66">
        <v>29.2</v>
      </c>
      <c r="M231" s="66">
        <v>30.2</v>
      </c>
      <c r="N231" s="66">
        <v>31.6</v>
      </c>
      <c r="O231" s="66">
        <v>32.6</v>
      </c>
      <c r="P231" s="66">
        <v>31</v>
      </c>
      <c r="Q231" s="66">
        <v>30.6</v>
      </c>
      <c r="R231" s="66">
        <v>29.6</v>
      </c>
      <c r="S231" s="66">
        <v>31.2</v>
      </c>
      <c r="T231" s="66">
        <v>29.6</v>
      </c>
      <c r="U231" s="66">
        <v>30.8</v>
      </c>
      <c r="V231" s="66">
        <v>28.2</v>
      </c>
      <c r="W231" s="66">
        <v>29</v>
      </c>
      <c r="X231" s="66">
        <v>30.2</v>
      </c>
      <c r="Y231" s="66">
        <v>33.4</v>
      </c>
      <c r="Z231" s="66">
        <v>29</v>
      </c>
      <c r="AA231" s="109">
        <v>32</v>
      </c>
      <c r="AB231" s="66">
        <v>31.6</v>
      </c>
      <c r="AC231" s="66">
        <v>29.2</v>
      </c>
      <c r="AD231" s="66">
        <v>31</v>
      </c>
      <c r="AE231" s="66">
        <v>28.6</v>
      </c>
      <c r="AF231" s="66">
        <v>29.2</v>
      </c>
      <c r="AG231" s="66">
        <v>31.8</v>
      </c>
      <c r="AH231" s="66">
        <v>31</v>
      </c>
      <c r="AI231" s="66"/>
      <c r="AJ231" s="66"/>
      <c r="AK231" s="66"/>
      <c r="AL231" s="66"/>
      <c r="AM231" s="66"/>
      <c r="AN231" s="66"/>
      <c r="AO231" s="66"/>
      <c r="AP231" s="67">
        <f t="shared" si="16"/>
        <v>24</v>
      </c>
      <c r="AQ231" s="68">
        <f t="shared" si="17"/>
        <v>30.533333333333335</v>
      </c>
      <c r="AR231" s="68">
        <f>IFERROR(VLOOKUP(A231,Climatologia_TMAX!A:U,9+$E$2,FALSE),"")</f>
        <v>29.569507640067911</v>
      </c>
      <c r="AS231" s="68">
        <f t="shared" si="18"/>
        <v>0.96382569326542367</v>
      </c>
      <c r="AT231" s="74">
        <f t="shared" si="19"/>
        <v>33.4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31" s="69">
        <f t="shared" si="20"/>
        <v>-0.60000000000000142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29.355318143552989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34.6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37552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31.6</v>
      </c>
      <c r="L235" s="66">
        <v>30.4</v>
      </c>
      <c r="M235" s="66">
        <v>30.4</v>
      </c>
      <c r="N235" s="66">
        <v>33</v>
      </c>
      <c r="O235" s="66">
        <v>32</v>
      </c>
      <c r="P235" s="66">
        <v>32.200000000000003</v>
      </c>
      <c r="Q235" s="66">
        <v>31</v>
      </c>
      <c r="R235" s="66">
        <v>29.8</v>
      </c>
      <c r="S235" s="66">
        <v>32.200000000000003</v>
      </c>
      <c r="T235" s="66">
        <v>28</v>
      </c>
      <c r="U235" s="66">
        <v>30</v>
      </c>
      <c r="V235" s="66">
        <v>27.8</v>
      </c>
      <c r="W235" s="66">
        <v>28</v>
      </c>
      <c r="X235" s="66">
        <v>30.4</v>
      </c>
      <c r="Y235" s="66">
        <v>33.799999999999997</v>
      </c>
      <c r="Z235" s="66">
        <v>29.8</v>
      </c>
      <c r="AA235" s="109">
        <v>30.6</v>
      </c>
      <c r="AB235" s="66">
        <v>30.8</v>
      </c>
      <c r="AC235" s="66">
        <v>27</v>
      </c>
      <c r="AD235" s="66">
        <v>31</v>
      </c>
      <c r="AE235" s="66">
        <v>27</v>
      </c>
      <c r="AF235" s="66">
        <v>29.8</v>
      </c>
      <c r="AG235" s="66">
        <v>32</v>
      </c>
      <c r="AH235" s="66">
        <v>31.8</v>
      </c>
      <c r="AI235" s="66"/>
      <c r="AJ235" s="66"/>
      <c r="AK235" s="66"/>
      <c r="AL235" s="66"/>
      <c r="AM235" s="66"/>
      <c r="AN235" s="66"/>
      <c r="AO235" s="66"/>
      <c r="AP235" s="67">
        <f t="shared" si="16"/>
        <v>24</v>
      </c>
      <c r="AQ235" s="68">
        <f t="shared" si="17"/>
        <v>30.433333333333326</v>
      </c>
      <c r="AR235" s="68">
        <f>IFERROR(VLOOKUP(A235,Climatologia_TMAX!A:U,9+$E$2,FALSE),"")</f>
        <v>29.25042444821732</v>
      </c>
      <c r="AS235" s="68">
        <f t="shared" si="18"/>
        <v>1.1829088851160066</v>
      </c>
      <c r="AT235" s="74">
        <f t="shared" si="19"/>
        <v>33.799999999999997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34.6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35" s="69">
        <f t="shared" si="20"/>
        <v>-0.80000000000000426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22.1029437470205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24.099516792778441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28.6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30</v>
      </c>
      <c r="L238" s="66">
        <v>28.4</v>
      </c>
      <c r="M238" s="66">
        <v>28</v>
      </c>
      <c r="N238" s="66">
        <v>30.2</v>
      </c>
      <c r="O238" s="66">
        <v>29.6</v>
      </c>
      <c r="P238" s="66">
        <v>28</v>
      </c>
      <c r="Q238" s="66">
        <v>30.2</v>
      </c>
      <c r="R238" s="66">
        <v>27.4</v>
      </c>
      <c r="S238" s="66">
        <v>30.4</v>
      </c>
      <c r="T238" s="66">
        <v>28.2</v>
      </c>
      <c r="U238" s="66">
        <v>27.6</v>
      </c>
      <c r="V238" s="66">
        <v>27</v>
      </c>
      <c r="W238" s="66">
        <v>28.2</v>
      </c>
      <c r="X238" s="66">
        <v>27.6</v>
      </c>
      <c r="Y238" s="66">
        <v>29.6</v>
      </c>
      <c r="Z238" s="66">
        <v>27</v>
      </c>
      <c r="AA238" s="66">
        <v>29.2</v>
      </c>
      <c r="AB238" s="66">
        <v>28.2</v>
      </c>
      <c r="AC238" s="66">
        <v>27.2</v>
      </c>
      <c r="AD238" s="66">
        <v>28.4</v>
      </c>
      <c r="AE238" s="66">
        <v>27.6</v>
      </c>
      <c r="AF238" s="66">
        <v>27.6</v>
      </c>
      <c r="AG238" s="66"/>
      <c r="AH238" s="66">
        <v>30.2</v>
      </c>
      <c r="AI238" s="66"/>
      <c r="AJ238" s="66"/>
      <c r="AK238" s="66"/>
      <c r="AL238" s="66"/>
      <c r="AM238" s="66"/>
      <c r="AN238" s="66"/>
      <c r="AO238" s="66"/>
      <c r="AP238" s="67">
        <f t="shared" si="16"/>
        <v>23</v>
      </c>
      <c r="AQ238" s="68">
        <f t="shared" si="17"/>
        <v>28.513043478260876</v>
      </c>
      <c r="AR238" s="68">
        <f>IFERROR(VLOOKUP(A238,Climatologia_TMAX!A:U,9+$E$2,FALSE),"")</f>
        <v>29.210205314547029</v>
      </c>
      <c r="AS238" s="68">
        <f t="shared" si="18"/>
        <v>-0.69716183628615269</v>
      </c>
      <c r="AT238" s="74">
        <f t="shared" si="19"/>
        <v>30.4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34.200000000000003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40096</v>
      </c>
      <c r="AW238" s="69">
        <f t="shared" si="20"/>
        <v>-3.8000000000000043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21.260649133958371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25.5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38271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23.4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37189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23.649725270550132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29.4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29.957482313893141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34.6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23.4</v>
      </c>
      <c r="L244" s="66">
        <v>23</v>
      </c>
      <c r="M244" s="66">
        <v>24</v>
      </c>
      <c r="N244" s="66">
        <v>25.2</v>
      </c>
      <c r="O244" s="66">
        <v>26</v>
      </c>
      <c r="P244" s="66">
        <v>25.2</v>
      </c>
      <c r="Q244" s="66">
        <v>24</v>
      </c>
      <c r="R244" s="66">
        <v>22</v>
      </c>
      <c r="S244" s="66">
        <v>26.8</v>
      </c>
      <c r="T244" s="66"/>
      <c r="U244" s="66"/>
      <c r="V244" s="66">
        <v>24</v>
      </c>
      <c r="W244" s="66">
        <v>24</v>
      </c>
      <c r="X244" s="66">
        <v>25</v>
      </c>
      <c r="Y244" s="66">
        <v>30</v>
      </c>
      <c r="Z244" s="66">
        <v>24.2</v>
      </c>
      <c r="AA244" s="66">
        <v>24.6</v>
      </c>
      <c r="AB244" s="66">
        <v>26</v>
      </c>
      <c r="AC244" s="66">
        <v>26</v>
      </c>
      <c r="AD244" s="66">
        <v>25.8</v>
      </c>
      <c r="AE244" s="66">
        <v>21.6</v>
      </c>
      <c r="AF244" s="66">
        <v>26.4</v>
      </c>
      <c r="AG244" s="66"/>
      <c r="AH244" s="66">
        <v>25</v>
      </c>
      <c r="AI244" s="66"/>
      <c r="AJ244" s="66"/>
      <c r="AK244" s="66"/>
      <c r="AL244" s="66"/>
      <c r="AM244" s="66"/>
      <c r="AN244" s="66"/>
      <c r="AO244" s="66"/>
      <c r="AP244" s="67">
        <f t="shared" si="16"/>
        <v>21</v>
      </c>
      <c r="AQ244" s="68">
        <f t="shared" si="17"/>
        <v>24.866666666666667</v>
      </c>
      <c r="AR244" s="68">
        <f>IFERROR(VLOOKUP(A244,Climatologia_TMAX!A:U,9+$E$2,FALSE),"")</f>
        <v>24.32544086021506</v>
      </c>
      <c r="AS244" s="68">
        <f t="shared" si="18"/>
        <v>0.54122580645160667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44838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32.814165739710788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39.200000000000003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30.2</v>
      </c>
      <c r="L246" s="66">
        <v>27.4</v>
      </c>
      <c r="M246" s="66">
        <v>26.2</v>
      </c>
      <c r="N246" s="66">
        <v>30.6</v>
      </c>
      <c r="O246" s="66">
        <v>32.4</v>
      </c>
      <c r="P246" s="66">
        <v>27</v>
      </c>
      <c r="Q246" s="66">
        <v>28.4</v>
      </c>
      <c r="R246" s="66">
        <v>29.4</v>
      </c>
      <c r="S246" s="66">
        <v>30.2</v>
      </c>
      <c r="T246" s="66">
        <v>27.6</v>
      </c>
      <c r="U246" s="66">
        <v>31.4</v>
      </c>
      <c r="V246" s="66"/>
      <c r="W246" s="66">
        <v>25.8</v>
      </c>
      <c r="X246" s="66">
        <v>30.6</v>
      </c>
      <c r="Y246" s="66">
        <v>32.4</v>
      </c>
      <c r="Z246" s="66">
        <v>30</v>
      </c>
      <c r="AA246" s="66">
        <v>31.8</v>
      </c>
      <c r="AB246" s="66">
        <v>27.2</v>
      </c>
      <c r="AC246" s="66">
        <v>27.6</v>
      </c>
      <c r="AD246" s="66">
        <v>30.2</v>
      </c>
      <c r="AE246" s="66">
        <v>28.4</v>
      </c>
      <c r="AF246" s="66">
        <v>30.6</v>
      </c>
      <c r="AG246" s="66">
        <v>32.799999999999997</v>
      </c>
      <c r="AH246" s="66">
        <v>29.2</v>
      </c>
      <c r="AI246" s="66"/>
      <c r="AJ246" s="66"/>
      <c r="AK246" s="66"/>
      <c r="AL246" s="66"/>
      <c r="AM246" s="66"/>
      <c r="AN246" s="66"/>
      <c r="AO246" s="66"/>
      <c r="AP246" s="67">
        <f t="shared" si="16"/>
        <v>23</v>
      </c>
      <c r="AQ246" s="68">
        <f t="shared" si="17"/>
        <v>29.452173913043481</v>
      </c>
      <c r="AR246" s="68">
        <f>IFERROR(VLOOKUP(A246,Climatologia_TMAX!A:U,9+$E$2,FALSE),"")</f>
        <v>28.473804281714219</v>
      </c>
      <c r="AS246" s="68">
        <f t="shared" si="18"/>
        <v>0.97836963132926158</v>
      </c>
      <c r="AT246" s="74">
        <f t="shared" si="19"/>
        <v>32.799999999999997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33.200000000000003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46" s="69">
        <f t="shared" si="20"/>
        <v>-0.40000000000000568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32.6</v>
      </c>
      <c r="L247" s="66">
        <v>32.4</v>
      </c>
      <c r="M247" s="66">
        <v>30.2</v>
      </c>
      <c r="N247" s="66">
        <v>33.200000000000003</v>
      </c>
      <c r="O247" s="66">
        <v>35.200000000000003</v>
      </c>
      <c r="P247" s="66">
        <v>32.200000000000003</v>
      </c>
      <c r="Q247" s="66">
        <v>31.8</v>
      </c>
      <c r="R247" s="66">
        <v>32.4</v>
      </c>
      <c r="S247" s="66">
        <v>32.6</v>
      </c>
      <c r="T247" s="66">
        <v>29.4</v>
      </c>
      <c r="U247" s="66">
        <v>34.4</v>
      </c>
      <c r="V247" s="66">
        <v>28.6</v>
      </c>
      <c r="W247" s="66">
        <v>29.8</v>
      </c>
      <c r="X247" s="66">
        <v>34.200000000000003</v>
      </c>
      <c r="Y247" s="66">
        <v>36</v>
      </c>
      <c r="Z247" s="66">
        <v>33.6</v>
      </c>
      <c r="AA247" s="66">
        <v>34</v>
      </c>
      <c r="AB247" s="66">
        <v>30.8</v>
      </c>
      <c r="AC247" s="66">
        <v>31</v>
      </c>
      <c r="AD247" s="66">
        <v>33.6</v>
      </c>
      <c r="AE247" s="66">
        <v>30.6</v>
      </c>
      <c r="AF247" s="66">
        <v>34.200000000000003</v>
      </c>
      <c r="AG247" s="66">
        <v>36.4</v>
      </c>
      <c r="AH247" s="66">
        <v>33.799999999999997</v>
      </c>
      <c r="AI247" s="66"/>
      <c r="AJ247" s="66"/>
      <c r="AK247" s="66"/>
      <c r="AL247" s="66"/>
      <c r="AM247" s="66"/>
      <c r="AN247" s="66"/>
      <c r="AO247" s="66"/>
      <c r="AP247" s="67">
        <f t="shared" si="16"/>
        <v>24</v>
      </c>
      <c r="AQ247" s="68">
        <f t="shared" si="17"/>
        <v>32.625</v>
      </c>
      <c r="AR247" s="68">
        <f>IFERROR(VLOOKUP(A247,Climatologia_TMAX!A:U,9+$E$2,FALSE),"")</f>
        <v>33.139612236440733</v>
      </c>
      <c r="AS247" s="68">
        <f t="shared" si="18"/>
        <v>-0.51461223644073328</v>
      </c>
      <c r="AT247" s="74">
        <f t="shared" si="19"/>
        <v>36.4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38.799999999999997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247" s="69">
        <f t="shared" si="20"/>
        <v>-2.3999999999999986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32.200000000000003</v>
      </c>
      <c r="L248" s="66">
        <v>33.6</v>
      </c>
      <c r="M248" s="66">
        <v>32</v>
      </c>
      <c r="N248" s="66">
        <v>34.4</v>
      </c>
      <c r="O248" s="66">
        <v>35.200000000000003</v>
      </c>
      <c r="P248" s="66">
        <v>35</v>
      </c>
      <c r="Q248" s="66">
        <v>34.799999999999997</v>
      </c>
      <c r="R248" s="66">
        <v>31.6</v>
      </c>
      <c r="S248" s="66">
        <v>32.4</v>
      </c>
      <c r="T248" s="66">
        <v>29</v>
      </c>
      <c r="U248" s="66">
        <v>33.4</v>
      </c>
      <c r="V248" s="66">
        <v>30.2</v>
      </c>
      <c r="W248" s="66">
        <v>31.2</v>
      </c>
      <c r="X248" s="66">
        <v>32.799999999999997</v>
      </c>
      <c r="Y248" s="66">
        <v>35.6</v>
      </c>
      <c r="Z248" s="66">
        <v>32.200000000000003</v>
      </c>
      <c r="AA248" s="66">
        <v>34.6</v>
      </c>
      <c r="AB248" s="66">
        <v>33.799999999999997</v>
      </c>
      <c r="AC248" s="66">
        <v>32.6</v>
      </c>
      <c r="AD248" s="66">
        <v>35.4</v>
      </c>
      <c r="AE248" s="66">
        <v>32.4</v>
      </c>
      <c r="AF248" s="66">
        <v>34</v>
      </c>
      <c r="AG248" s="66">
        <v>37.200000000000003</v>
      </c>
      <c r="AH248" s="66">
        <v>34.6</v>
      </c>
      <c r="AI248" s="66"/>
      <c r="AJ248" s="66"/>
      <c r="AK248" s="66"/>
      <c r="AL248" s="66"/>
      <c r="AM248" s="66"/>
      <c r="AN248" s="66"/>
      <c r="AO248" s="66"/>
      <c r="AP248" s="67">
        <f t="shared" si="16"/>
        <v>24</v>
      </c>
      <c r="AQ248" s="68">
        <f t="shared" si="17"/>
        <v>33.341666666666669</v>
      </c>
      <c r="AR248" s="68">
        <f>IFERROR(VLOOKUP(A248,Climatologia_TMAX!A:U,9+$E$2,FALSE),"")</f>
        <v>31.964743123916271</v>
      </c>
      <c r="AS248" s="68">
        <f t="shared" si="18"/>
        <v>1.3769235427503972</v>
      </c>
      <c r="AT248" s="74">
        <f t="shared" si="19"/>
        <v>37.200000000000003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37.4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48" s="69">
        <f t="shared" si="20"/>
        <v>-0.19999999999999574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30.4</v>
      </c>
      <c r="L249" s="66">
        <v>31.2</v>
      </c>
      <c r="M249" s="66">
        <v>31.8</v>
      </c>
      <c r="N249" s="66">
        <v>33.799999999999997</v>
      </c>
      <c r="O249" s="66">
        <v>32.6</v>
      </c>
      <c r="P249" s="66">
        <v>31.6</v>
      </c>
      <c r="Q249" s="66">
        <v>31.2</v>
      </c>
      <c r="R249" s="66">
        <v>30</v>
      </c>
      <c r="S249" s="66">
        <v>29.8</v>
      </c>
      <c r="T249" s="66">
        <v>30.2</v>
      </c>
      <c r="U249" s="66">
        <v>31.4</v>
      </c>
      <c r="V249" s="66">
        <v>28.6</v>
      </c>
      <c r="W249" s="106">
        <v>28.4</v>
      </c>
      <c r="X249" s="66">
        <v>31.2</v>
      </c>
      <c r="Y249" s="106">
        <v>32.4</v>
      </c>
      <c r="Z249" s="66">
        <v>30</v>
      </c>
      <c r="AA249" s="66">
        <v>32</v>
      </c>
      <c r="AB249" s="66">
        <v>30.2</v>
      </c>
      <c r="AC249" s="66">
        <v>31</v>
      </c>
      <c r="AD249" s="66"/>
      <c r="AE249" s="66">
        <v>31.2</v>
      </c>
      <c r="AF249" s="66">
        <v>30.8</v>
      </c>
      <c r="AG249" s="66">
        <v>32.6</v>
      </c>
      <c r="AH249" s="66">
        <v>32.799999999999997</v>
      </c>
      <c r="AI249" s="66"/>
      <c r="AJ249" s="66"/>
      <c r="AK249" s="66"/>
      <c r="AL249" s="66"/>
      <c r="AM249" s="66"/>
      <c r="AN249" s="66"/>
      <c r="AO249" s="66"/>
      <c r="AP249" s="67">
        <f t="shared" si="16"/>
        <v>23</v>
      </c>
      <c r="AQ249" s="68">
        <f t="shared" si="17"/>
        <v>31.095652173913042</v>
      </c>
      <c r="AR249" s="68">
        <f>IFERROR(VLOOKUP(A249,Climatologia_TMAX!A:U,9+$E$2,FALSE),"")</f>
        <v>29.6164247311828</v>
      </c>
      <c r="AS249" s="68">
        <f t="shared" si="18"/>
        <v>1.4792274427302416</v>
      </c>
      <c r="AT249" s="74">
        <f t="shared" si="19"/>
        <v>33.799999999999997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35.799999999999997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38998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34.200000000000003</v>
      </c>
      <c r="L250" s="66">
        <v>31.6</v>
      </c>
      <c r="M250" s="66">
        <v>32.4</v>
      </c>
      <c r="N250" s="66">
        <v>34</v>
      </c>
      <c r="O250" s="66">
        <v>38</v>
      </c>
      <c r="P250" s="66">
        <v>34.4</v>
      </c>
      <c r="Q250" s="66">
        <v>33.4</v>
      </c>
      <c r="R250" s="66">
        <v>33.6</v>
      </c>
      <c r="S250" s="66">
        <v>35</v>
      </c>
      <c r="T250" s="66">
        <v>31.4</v>
      </c>
      <c r="U250" s="66">
        <v>35.799999999999997</v>
      </c>
      <c r="V250" s="66">
        <v>31.8</v>
      </c>
      <c r="W250" s="66">
        <v>31.2</v>
      </c>
      <c r="X250" s="66">
        <v>35.799999999999997</v>
      </c>
      <c r="Y250" s="66">
        <v>37.200000000000003</v>
      </c>
      <c r="Z250" s="66">
        <v>33.6</v>
      </c>
      <c r="AA250" s="66">
        <v>35.4</v>
      </c>
      <c r="AB250" s="66">
        <v>31.2</v>
      </c>
      <c r="AC250" s="66">
        <v>31.4</v>
      </c>
      <c r="AD250" s="66">
        <v>36.6</v>
      </c>
      <c r="AE250" s="66">
        <v>31.8</v>
      </c>
      <c r="AF250" s="66">
        <v>35.200000000000003</v>
      </c>
      <c r="AG250" s="66">
        <v>37</v>
      </c>
      <c r="AH250" s="66">
        <v>33.799999999999997</v>
      </c>
      <c r="AI250" s="66"/>
      <c r="AJ250" s="66"/>
      <c r="AK250" s="66"/>
      <c r="AL250" s="66"/>
      <c r="AM250" s="66"/>
      <c r="AN250" s="66"/>
      <c r="AO250" s="66"/>
      <c r="AP250" s="67">
        <f t="shared" si="16"/>
        <v>24</v>
      </c>
      <c r="AQ250" s="68">
        <f t="shared" si="17"/>
        <v>33.991666666666667</v>
      </c>
      <c r="AR250" s="68">
        <f>IFERROR(VLOOKUP(A250,Climatologia_TMAX!A:U,9+$E$2,FALSE),"")</f>
        <v>33.586493598401972</v>
      </c>
      <c r="AS250" s="68">
        <f t="shared" si="18"/>
        <v>0.40517306826469479</v>
      </c>
      <c r="AT250" s="74">
        <f t="shared" si="19"/>
        <v>38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39.799999999999997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50" s="69">
        <f t="shared" si="20"/>
        <v>-1.7999999999999972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32.809705777983893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34636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33.799999999999997</v>
      </c>
      <c r="L252" s="66">
        <v>35.200000000000003</v>
      </c>
      <c r="M252" s="66">
        <v>35.200000000000003</v>
      </c>
      <c r="N252" s="66">
        <v>35.200000000000003</v>
      </c>
      <c r="O252" s="66">
        <v>36.6</v>
      </c>
      <c r="P252" s="66">
        <v>36</v>
      </c>
      <c r="Q252" s="66">
        <v>36.6</v>
      </c>
      <c r="R252" s="66">
        <v>35.6</v>
      </c>
      <c r="S252" s="66">
        <v>34.4</v>
      </c>
      <c r="T252" s="66"/>
      <c r="U252" s="66"/>
      <c r="V252" s="66">
        <v>31.8</v>
      </c>
      <c r="W252" s="66">
        <v>32</v>
      </c>
      <c r="X252" s="66">
        <v>34.4</v>
      </c>
      <c r="Y252" s="66">
        <v>36.4</v>
      </c>
      <c r="Z252" s="66">
        <v>33.4</v>
      </c>
      <c r="AA252" s="66">
        <v>36.4</v>
      </c>
      <c r="AB252" s="66">
        <v>33</v>
      </c>
      <c r="AC252" s="66">
        <v>34.6</v>
      </c>
      <c r="AD252" s="66">
        <v>36</v>
      </c>
      <c r="AE252" s="66">
        <v>34.4</v>
      </c>
      <c r="AF252" s="106">
        <v>35.6</v>
      </c>
      <c r="AG252" s="66">
        <v>39</v>
      </c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21</v>
      </c>
      <c r="AQ252" s="68">
        <f t="shared" si="17"/>
        <v>35.028571428571425</v>
      </c>
      <c r="AR252" s="68">
        <f>IFERROR(VLOOKUP(A252,Climatologia_TMAX!A:U,9+$E$2,FALSE),"")</f>
        <v>33.148146247422638</v>
      </c>
      <c r="AS252" s="68">
        <f t="shared" si="18"/>
        <v>1.8804251811487873</v>
      </c>
      <c r="AT252" s="74">
        <f t="shared" si="19"/>
        <v>39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45595</v>
      </c>
      <c r="AW252" s="69">
        <f t="shared" si="20"/>
        <v>-1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34.733276587326891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41.8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35.4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43381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32.799999999999997</v>
      </c>
      <c r="L255" s="66">
        <v>33.6</v>
      </c>
      <c r="M255" s="66">
        <v>33.6</v>
      </c>
      <c r="N255" s="66">
        <v>35.200000000000003</v>
      </c>
      <c r="O255" s="66">
        <v>36</v>
      </c>
      <c r="P255" s="66">
        <v>34.6</v>
      </c>
      <c r="Q255" s="66">
        <v>32.6</v>
      </c>
      <c r="R255" s="66">
        <v>32.799999999999997</v>
      </c>
      <c r="S255" s="66">
        <v>35</v>
      </c>
      <c r="T255" s="66">
        <v>29.6</v>
      </c>
      <c r="U255" s="66">
        <v>34.4</v>
      </c>
      <c r="V255" s="66">
        <v>32.6</v>
      </c>
      <c r="W255" s="66">
        <v>29.6</v>
      </c>
      <c r="X255" s="66">
        <v>34.4</v>
      </c>
      <c r="Y255" s="66">
        <v>36.200000000000003</v>
      </c>
      <c r="Z255" s="66">
        <v>33</v>
      </c>
      <c r="AA255" s="66">
        <v>35</v>
      </c>
      <c r="AB255" s="66">
        <v>32.799999999999997</v>
      </c>
      <c r="AC255" s="66">
        <v>34</v>
      </c>
      <c r="AD255" s="66">
        <v>35.4</v>
      </c>
      <c r="AE255" s="66">
        <v>30.4</v>
      </c>
      <c r="AF255" s="66">
        <v>35</v>
      </c>
      <c r="AG255" s="66">
        <v>36.200000000000003</v>
      </c>
      <c r="AH255" s="66">
        <v>35.799999999999997</v>
      </c>
      <c r="AI255" s="66"/>
      <c r="AJ255" s="66"/>
      <c r="AK255" s="66"/>
      <c r="AL255" s="66"/>
      <c r="AM255" s="66"/>
      <c r="AN255" s="66"/>
      <c r="AO255" s="66"/>
      <c r="AP255" s="67">
        <f t="shared" si="16"/>
        <v>24</v>
      </c>
      <c r="AQ255" s="68">
        <f t="shared" si="17"/>
        <v>33.774999999999999</v>
      </c>
      <c r="AR255" s="68">
        <f>IFERROR(VLOOKUP(A255,Climatologia_TMAX!A:U,9+$E$2,FALSE),"")</f>
        <v>31.503837526872839</v>
      </c>
      <c r="AS255" s="68">
        <f t="shared" si="18"/>
        <v>2.2711624731271591</v>
      </c>
      <c r="AT255" s="74">
        <f t="shared" si="19"/>
        <v>36.200000000000003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55" s="69">
        <f t="shared" si="20"/>
        <v>-2.7999999999999972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29.930338384733549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33.297129294370073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39.4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23.2</v>
      </c>
      <c r="L258" s="66">
        <v>21.6</v>
      </c>
      <c r="M258" s="66">
        <v>21.2</v>
      </c>
      <c r="N258" s="66">
        <v>22.2</v>
      </c>
      <c r="O258" s="66">
        <v>24.2</v>
      </c>
      <c r="P258" s="66">
        <v>22.2</v>
      </c>
      <c r="Q258" s="66">
        <v>23.8</v>
      </c>
      <c r="R258" s="66">
        <v>24.2</v>
      </c>
      <c r="S258" s="66">
        <v>24</v>
      </c>
      <c r="T258" s="66">
        <v>21.6</v>
      </c>
      <c r="U258" s="66">
        <v>23.4</v>
      </c>
      <c r="V258" s="66">
        <v>21.2</v>
      </c>
      <c r="W258" s="66">
        <v>20.2</v>
      </c>
      <c r="X258" s="66">
        <v>23.2</v>
      </c>
      <c r="Y258" s="66">
        <v>24.4</v>
      </c>
      <c r="Z258" s="66">
        <v>23.4</v>
      </c>
      <c r="AA258" s="66">
        <v>22.6</v>
      </c>
      <c r="AB258" s="66">
        <v>21.6</v>
      </c>
      <c r="AC258" s="66">
        <v>22</v>
      </c>
      <c r="AD258" s="66">
        <v>23.6</v>
      </c>
      <c r="AE258" s="66">
        <v>22.2</v>
      </c>
      <c r="AF258" s="66">
        <v>24.6</v>
      </c>
      <c r="AG258" s="66">
        <v>27.6</v>
      </c>
      <c r="AH258" s="66">
        <v>23.2</v>
      </c>
      <c r="AI258" s="66"/>
      <c r="AJ258" s="66"/>
      <c r="AK258" s="66"/>
      <c r="AL258" s="66"/>
      <c r="AM258" s="66"/>
      <c r="AN258" s="66"/>
      <c r="AO258" s="66"/>
      <c r="AP258" s="67">
        <f t="shared" si="16"/>
        <v>24</v>
      </c>
      <c r="AQ258" s="68">
        <f t="shared" si="17"/>
        <v>22.975000000000005</v>
      </c>
      <c r="AR258" s="68">
        <f>IFERROR(VLOOKUP(A258,Climatologia_TMAX!A:U,9+$E$2,FALSE),"")</f>
        <v>21.808832428070328</v>
      </c>
      <c r="AS258" s="68">
        <f t="shared" si="18"/>
        <v>1.1661675719296767</v>
      </c>
      <c r="AT258" s="74">
        <f t="shared" si="19"/>
        <v>27.6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30590</v>
      </c>
      <c r="AW258" s="69">
        <f t="shared" si="20"/>
        <v>-0.39999999999999858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26.2</v>
      </c>
      <c r="L259" s="66">
        <v>25.6</v>
      </c>
      <c r="M259" s="66">
        <v>25.6</v>
      </c>
      <c r="N259" s="66">
        <v>27.4</v>
      </c>
      <c r="O259" s="66">
        <v>28</v>
      </c>
      <c r="P259" s="66">
        <v>27.6</v>
      </c>
      <c r="Q259" s="66">
        <v>28</v>
      </c>
      <c r="R259" s="66">
        <v>26.5</v>
      </c>
      <c r="S259" s="66">
        <v>27</v>
      </c>
      <c r="T259" s="66">
        <v>24.4</v>
      </c>
      <c r="U259" s="66">
        <v>27</v>
      </c>
      <c r="V259" s="66"/>
      <c r="W259" s="66">
        <v>23</v>
      </c>
      <c r="X259" s="66">
        <v>26.2</v>
      </c>
      <c r="Y259" s="66">
        <v>28.2</v>
      </c>
      <c r="Z259" s="66">
        <v>26</v>
      </c>
      <c r="AA259" s="66">
        <v>26.6</v>
      </c>
      <c r="AB259" s="66">
        <v>26</v>
      </c>
      <c r="AC259" s="66">
        <v>26.6</v>
      </c>
      <c r="AD259" s="66">
        <v>27.2</v>
      </c>
      <c r="AE259" s="66">
        <v>23.6</v>
      </c>
      <c r="AF259" s="66">
        <v>27</v>
      </c>
      <c r="AG259" s="66">
        <v>28.2</v>
      </c>
      <c r="AH259" s="66">
        <v>26.4</v>
      </c>
      <c r="AI259" s="66"/>
      <c r="AJ259" s="66"/>
      <c r="AK259" s="66"/>
      <c r="AL259" s="66"/>
      <c r="AM259" s="66"/>
      <c r="AN259" s="66"/>
      <c r="AO259" s="66"/>
      <c r="AP259" s="67">
        <f t="shared" si="16"/>
        <v>23</v>
      </c>
      <c r="AQ259" s="68">
        <f t="shared" si="17"/>
        <v>26.447826086956525</v>
      </c>
      <c r="AR259" s="68">
        <f>IFERROR(VLOOKUP(A259,Climatologia_TMAX!A:U,9+$E$2,FALSE),"")</f>
        <v>25.9010136502114</v>
      </c>
      <c r="AS259" s="68">
        <f t="shared" si="18"/>
        <v>0.54681243674512459</v>
      </c>
      <c r="AT259" s="74">
        <f t="shared" si="19"/>
        <v>28.2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30.6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42298</v>
      </c>
      <c r="AW259" s="69">
        <f t="shared" si="20"/>
        <v>-2.4000000000000021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20.8</v>
      </c>
      <c r="L260" s="66">
        <v>20.6</v>
      </c>
      <c r="M260" s="66">
        <v>20.399999999999999</v>
      </c>
      <c r="N260" s="66">
        <v>21.2</v>
      </c>
      <c r="O260" s="66">
        <v>21.8</v>
      </c>
      <c r="P260" s="66">
        <v>20</v>
      </c>
      <c r="Q260" s="66">
        <v>18.8</v>
      </c>
      <c r="R260" s="66">
        <v>21</v>
      </c>
      <c r="S260" s="66">
        <v>20.8</v>
      </c>
      <c r="T260" s="66">
        <v>19.8</v>
      </c>
      <c r="U260" s="66">
        <v>19.399999999999999</v>
      </c>
      <c r="V260" s="66">
        <v>18</v>
      </c>
      <c r="W260" s="109">
        <v>16</v>
      </c>
      <c r="X260" s="66">
        <v>21</v>
      </c>
      <c r="Y260" s="66">
        <v>23.8</v>
      </c>
      <c r="Z260" s="66">
        <v>22.4</v>
      </c>
      <c r="AA260" s="66">
        <v>20.6</v>
      </c>
      <c r="AB260" s="66">
        <v>19.2</v>
      </c>
      <c r="AC260" s="66">
        <v>18.600000000000001</v>
      </c>
      <c r="AD260" s="66">
        <v>18.399999999999999</v>
      </c>
      <c r="AE260" s="66">
        <v>17.600000000000001</v>
      </c>
      <c r="AF260" s="66">
        <v>19.399999999999999</v>
      </c>
      <c r="AG260" s="66">
        <v>22.4</v>
      </c>
      <c r="AH260" s="66">
        <v>21.8</v>
      </c>
      <c r="AI260" s="66"/>
      <c r="AJ260" s="66"/>
      <c r="AK260" s="66"/>
      <c r="AL260" s="66"/>
      <c r="AM260" s="66"/>
      <c r="AN260" s="66"/>
      <c r="AO260" s="66"/>
      <c r="AP260" s="67">
        <f t="shared" si="16"/>
        <v>24</v>
      </c>
      <c r="AQ260" s="68">
        <f t="shared" si="17"/>
        <v>20.158333333333335</v>
      </c>
      <c r="AR260" s="68">
        <f>IFERROR(VLOOKUP(A260,Climatologia_TMAX!A:U,9+$E$2,FALSE),"")</f>
        <v>18.23163558863169</v>
      </c>
      <c r="AS260" s="68">
        <f t="shared" si="18"/>
        <v>1.9266977447016451</v>
      </c>
      <c r="AT260" s="74">
        <f t="shared" si="19"/>
        <v>23.8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24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45576</v>
      </c>
      <c r="AW260" s="69">
        <f t="shared" si="20"/>
        <v>-0.19999999999999929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31.8</v>
      </c>
      <c r="L261" s="66">
        <v>31.6</v>
      </c>
      <c r="M261" s="66">
        <v>30.6</v>
      </c>
      <c r="N261" s="66">
        <v>33</v>
      </c>
      <c r="O261" s="66">
        <v>33.200000000000003</v>
      </c>
      <c r="P261" s="66">
        <v>33.6</v>
      </c>
      <c r="Q261" s="66">
        <v>31.4</v>
      </c>
      <c r="R261" s="66">
        <v>30.8</v>
      </c>
      <c r="S261" s="66">
        <v>31.4</v>
      </c>
      <c r="T261" s="66">
        <v>28</v>
      </c>
      <c r="U261" s="66">
        <v>29.4</v>
      </c>
      <c r="V261" s="66">
        <v>29</v>
      </c>
      <c r="W261" s="66">
        <v>28.8</v>
      </c>
      <c r="X261" s="66">
        <v>31.4</v>
      </c>
      <c r="Y261" s="66">
        <v>33.6</v>
      </c>
      <c r="Z261" s="66">
        <v>32</v>
      </c>
      <c r="AA261" s="66">
        <v>33</v>
      </c>
      <c r="AB261" s="66">
        <v>32</v>
      </c>
      <c r="AC261" s="66">
        <v>31.6</v>
      </c>
      <c r="AD261" s="66">
        <v>33.6</v>
      </c>
      <c r="AE261" s="66">
        <v>30.4</v>
      </c>
      <c r="AF261" s="66">
        <v>32.799999999999997</v>
      </c>
      <c r="AG261" s="66">
        <v>35.4</v>
      </c>
      <c r="AH261" s="66">
        <v>33</v>
      </c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24</v>
      </c>
      <c r="AQ261" s="68">
        <f t="shared" ref="AQ261:AQ324" si="22">IF(AP261&gt;14,AVERAGE(K261:AO261),"")</f>
        <v>31.724999999999994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35.4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35710</v>
      </c>
      <c r="AW261" s="69">
        <f t="shared" ref="AW261:AW288" si="25">IF(OR(AT261="",AU261=""),"NA",IFERROR(AT261-AU261,"NA"))</f>
        <v>-2.6000000000000014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21.6</v>
      </c>
      <c r="M262" s="66">
        <v>21.2</v>
      </c>
      <c r="N262" s="66">
        <v>22.2</v>
      </c>
      <c r="O262" s="66">
        <v>23.6</v>
      </c>
      <c r="P262" s="66">
        <v>21.4</v>
      </c>
      <c r="Q262" s="66">
        <v>21.2</v>
      </c>
      <c r="R262" s="66">
        <v>22.6</v>
      </c>
      <c r="S262" s="66">
        <v>23.2</v>
      </c>
      <c r="T262" s="66">
        <v>19</v>
      </c>
      <c r="U262" s="66"/>
      <c r="V262" s="66">
        <v>18.600000000000001</v>
      </c>
      <c r="W262" s="66">
        <v>20.2</v>
      </c>
      <c r="X262" s="66">
        <v>21.4</v>
      </c>
      <c r="Y262" s="66">
        <v>24.8</v>
      </c>
      <c r="Z262" s="66">
        <v>22.6</v>
      </c>
      <c r="AA262" s="66">
        <v>21.6</v>
      </c>
      <c r="AB262" s="66">
        <v>20.2</v>
      </c>
      <c r="AC262" s="66">
        <v>20.6</v>
      </c>
      <c r="AD262" s="66">
        <v>20.399999999999999</v>
      </c>
      <c r="AE262" s="66">
        <v>19.2</v>
      </c>
      <c r="AF262" s="66">
        <v>22</v>
      </c>
      <c r="AG262" s="66">
        <v>22.4</v>
      </c>
      <c r="AH262" s="66">
        <v>21.8</v>
      </c>
      <c r="AI262" s="66"/>
      <c r="AJ262" s="66"/>
      <c r="AK262" s="66"/>
      <c r="AL262" s="66"/>
      <c r="AM262" s="66"/>
      <c r="AN262" s="66"/>
      <c r="AO262" s="66"/>
      <c r="AP262" s="67">
        <f t="shared" si="21"/>
        <v>23</v>
      </c>
      <c r="AQ262" s="68">
        <f t="shared" si="22"/>
        <v>21.513043478260869</v>
      </c>
      <c r="AR262" s="68">
        <f>IFERROR(VLOOKUP(A262,Climatologia_TMAX!A:U,9+$E$2,FALSE),"")</f>
        <v>20.583971968097579</v>
      </c>
      <c r="AS262" s="68">
        <f t="shared" si="23"/>
        <v>0.92907151016328982</v>
      </c>
      <c r="AT262" s="74">
        <f t="shared" si="24"/>
        <v>24.8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25.2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62" s="69">
        <f t="shared" si="25"/>
        <v>-0.39999999999999858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15.638000370782351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23</v>
      </c>
      <c r="L266" s="66"/>
      <c r="M266" s="66"/>
      <c r="N266" s="66">
        <v>21.4</v>
      </c>
      <c r="O266" s="66">
        <v>25.2</v>
      </c>
      <c r="P266" s="66">
        <v>22.4</v>
      </c>
      <c r="Q266" s="66">
        <v>20.399999999999999</v>
      </c>
      <c r="R266" s="66">
        <v>20.6</v>
      </c>
      <c r="S266" s="66"/>
      <c r="T266" s="66"/>
      <c r="U266" s="66"/>
      <c r="V266" s="66">
        <v>21.6</v>
      </c>
      <c r="W266" s="66">
        <v>19.8</v>
      </c>
      <c r="X266" s="66">
        <v>22.2</v>
      </c>
      <c r="Y266" s="66">
        <v>22.6</v>
      </c>
      <c r="Z266" s="66"/>
      <c r="AA266" s="66"/>
      <c r="AB266" s="66">
        <v>22</v>
      </c>
      <c r="AC266" s="66">
        <v>21.4</v>
      </c>
      <c r="AD266" s="66">
        <v>22.4</v>
      </c>
      <c r="AE266" s="66">
        <v>19</v>
      </c>
      <c r="AF266" s="66">
        <v>21.8</v>
      </c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15</v>
      </c>
      <c r="AQ266" s="68">
        <f t="shared" si="22"/>
        <v>21.719999999999995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25.2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43010</v>
      </c>
      <c r="AW266" s="69">
        <f t="shared" si="25"/>
        <v>1.1999999999999993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15.2</v>
      </c>
      <c r="M268" s="66">
        <v>15.8</v>
      </c>
      <c r="N268" s="66">
        <v>16.2</v>
      </c>
      <c r="O268" s="66">
        <v>16.600000000000001</v>
      </c>
      <c r="P268" s="66">
        <v>16</v>
      </c>
      <c r="Q268" s="66">
        <v>15.6</v>
      </c>
      <c r="R268" s="66">
        <v>15</v>
      </c>
      <c r="S268" s="66">
        <v>15.6</v>
      </c>
      <c r="T268" s="66">
        <v>16</v>
      </c>
      <c r="U268" s="66">
        <v>16.399999999999999</v>
      </c>
      <c r="V268" s="66">
        <v>15.8</v>
      </c>
      <c r="W268" s="66">
        <v>15.4</v>
      </c>
      <c r="X268" s="66">
        <v>15</v>
      </c>
      <c r="Y268" s="66">
        <v>15.6</v>
      </c>
      <c r="Z268" s="66">
        <v>16.2</v>
      </c>
      <c r="AA268" s="66">
        <v>16.600000000000001</v>
      </c>
      <c r="AB268" s="66">
        <v>16.399999999999999</v>
      </c>
      <c r="AC268" s="66">
        <v>16.8</v>
      </c>
      <c r="AD268" s="66">
        <v>16.2</v>
      </c>
      <c r="AE268" s="66">
        <v>15.6</v>
      </c>
      <c r="AF268" s="66">
        <v>16.2</v>
      </c>
      <c r="AG268" s="66">
        <v>17</v>
      </c>
      <c r="AH268" s="66">
        <v>16.399999999999999</v>
      </c>
      <c r="AI268" s="66"/>
      <c r="AJ268" s="66"/>
      <c r="AK268" s="66"/>
      <c r="AL268" s="66"/>
      <c r="AM268" s="66"/>
      <c r="AN268" s="66"/>
      <c r="AO268" s="66"/>
      <c r="AP268" s="67">
        <f t="shared" si="21"/>
        <v>24</v>
      </c>
      <c r="AQ268" s="68">
        <f t="shared" si="22"/>
        <v>15.966666666666667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17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24.8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37543</v>
      </c>
      <c r="AW268" s="69">
        <f t="shared" si="25"/>
        <v>-7.8000000000000007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20</v>
      </c>
      <c r="M269" s="66">
        <v>20.399999999999999</v>
      </c>
      <c r="N269" s="66">
        <v>22.2</v>
      </c>
      <c r="O269" s="66">
        <v>25.4</v>
      </c>
      <c r="P269" s="66">
        <v>23.4</v>
      </c>
      <c r="Q269" s="66">
        <v>22</v>
      </c>
      <c r="R269" s="66">
        <v>21</v>
      </c>
      <c r="S269" s="66">
        <v>23</v>
      </c>
      <c r="T269" s="66">
        <v>19.399999999999999</v>
      </c>
      <c r="U269" s="109">
        <v>21</v>
      </c>
      <c r="V269" s="66">
        <v>19.2</v>
      </c>
      <c r="W269" s="66">
        <v>18.600000000000001</v>
      </c>
      <c r="X269" s="66">
        <v>22.6</v>
      </c>
      <c r="Y269" s="66">
        <v>24.6</v>
      </c>
      <c r="Z269" s="66">
        <v>22.6</v>
      </c>
      <c r="AA269" s="66">
        <v>23</v>
      </c>
      <c r="AB269" s="66">
        <v>23.2</v>
      </c>
      <c r="AC269" s="66">
        <v>21.8</v>
      </c>
      <c r="AD269" s="66">
        <v>22</v>
      </c>
      <c r="AE269" s="66"/>
      <c r="AF269" s="66">
        <v>21.6</v>
      </c>
      <c r="AG269" s="66">
        <v>22.4</v>
      </c>
      <c r="AH269" s="66">
        <v>20.8</v>
      </c>
      <c r="AI269" s="66"/>
      <c r="AJ269" s="66"/>
      <c r="AK269" s="66"/>
      <c r="AL269" s="66"/>
      <c r="AM269" s="66"/>
      <c r="AN269" s="66"/>
      <c r="AO269" s="66"/>
      <c r="AP269" s="67">
        <f t="shared" si="21"/>
        <v>23</v>
      </c>
      <c r="AQ269" s="68">
        <f t="shared" si="22"/>
        <v>21.817391304347833</v>
      </c>
      <c r="AR269" s="68">
        <f>IFERROR(VLOOKUP(A269,Climatologia_TMAX!A:U,9+$E$2,FALSE),"")</f>
        <v>19.72737191725864</v>
      </c>
      <c r="AS269" s="68">
        <f t="shared" si="23"/>
        <v>2.0900193870891925</v>
      </c>
      <c r="AT269" s="74">
        <f t="shared" si="24"/>
        <v>25.4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24.6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45582</v>
      </c>
      <c r="AW269" s="69">
        <f t="shared" si="25"/>
        <v>0.79999999999999716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23</v>
      </c>
      <c r="L270" s="66">
        <v>20</v>
      </c>
      <c r="M270" s="66">
        <v>18.399999999999999</v>
      </c>
      <c r="N270" s="66">
        <v>22</v>
      </c>
      <c r="O270" s="66">
        <v>24</v>
      </c>
      <c r="P270" s="66">
        <v>23</v>
      </c>
      <c r="Q270" s="66">
        <v>19</v>
      </c>
      <c r="R270" s="66">
        <v>20.6</v>
      </c>
      <c r="S270" s="66">
        <v>21</v>
      </c>
      <c r="T270" s="66">
        <v>21.2</v>
      </c>
      <c r="U270" s="66">
        <v>20</v>
      </c>
      <c r="V270" s="66">
        <v>17.600000000000001</v>
      </c>
      <c r="W270" s="66">
        <v>16.600000000000001</v>
      </c>
      <c r="X270" s="66">
        <v>22</v>
      </c>
      <c r="Y270" s="66">
        <v>21.8</v>
      </c>
      <c r="Z270" s="66">
        <v>19.399999999999999</v>
      </c>
      <c r="AA270" s="66">
        <v>22.4</v>
      </c>
      <c r="AB270" s="66">
        <v>19.2</v>
      </c>
      <c r="AC270" s="66">
        <v>21.4</v>
      </c>
      <c r="AD270" s="66">
        <v>21.4</v>
      </c>
      <c r="AE270" s="66">
        <v>18</v>
      </c>
      <c r="AF270" s="66">
        <v>19</v>
      </c>
      <c r="AG270" s="66">
        <v>21</v>
      </c>
      <c r="AH270" s="66">
        <v>19</v>
      </c>
      <c r="AI270" s="66"/>
      <c r="AJ270" s="66"/>
      <c r="AK270" s="66"/>
      <c r="AL270" s="66"/>
      <c r="AM270" s="66"/>
      <c r="AN270" s="66"/>
      <c r="AO270" s="66"/>
      <c r="AP270" s="67">
        <f t="shared" si="21"/>
        <v>24</v>
      </c>
      <c r="AQ270" s="68">
        <f t="shared" si="22"/>
        <v>20.458333333333329</v>
      </c>
      <c r="AR270" s="68">
        <f>IFERROR(VLOOKUP(A270,Climatologia_TMAX!A:U,9+$E$2,FALSE),"")</f>
        <v>16.868255178571651</v>
      </c>
      <c r="AS270" s="68">
        <f t="shared" si="23"/>
        <v>3.5900781547616774</v>
      </c>
      <c r="AT270" s="74">
        <f t="shared" si="24"/>
        <v>24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70" s="69">
        <f t="shared" si="25"/>
        <v>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21.8</v>
      </c>
      <c r="L271" s="66">
        <v>16.600000000000001</v>
      </c>
      <c r="M271" s="66">
        <v>17.399999999999999</v>
      </c>
      <c r="N271" s="66">
        <v>19.399999999999999</v>
      </c>
      <c r="O271" s="66">
        <v>21.8</v>
      </c>
      <c r="P271" s="66">
        <v>20.8</v>
      </c>
      <c r="Q271" s="66">
        <v>18.2</v>
      </c>
      <c r="R271" s="66">
        <v>18.399999999999999</v>
      </c>
      <c r="S271" s="66">
        <v>17.8</v>
      </c>
      <c r="T271" s="66">
        <v>19.2</v>
      </c>
      <c r="U271" s="66">
        <v>19.2</v>
      </c>
      <c r="V271" s="66">
        <v>19.8</v>
      </c>
      <c r="W271" s="66">
        <v>19.2</v>
      </c>
      <c r="X271" s="66">
        <v>18.8</v>
      </c>
      <c r="Y271" s="66">
        <v>20.6</v>
      </c>
      <c r="Z271" s="66"/>
      <c r="AA271" s="66">
        <v>20.8</v>
      </c>
      <c r="AB271" s="66"/>
      <c r="AC271" s="66">
        <v>19.8</v>
      </c>
      <c r="AD271" s="66">
        <v>20.6</v>
      </c>
      <c r="AE271" s="66">
        <v>17.8</v>
      </c>
      <c r="AF271" s="66">
        <v>19.600000000000001</v>
      </c>
      <c r="AG271" s="66">
        <v>20.399999999999999</v>
      </c>
      <c r="AH271" s="66">
        <v>17.8</v>
      </c>
      <c r="AI271" s="66"/>
      <c r="AJ271" s="66"/>
      <c r="AK271" s="66"/>
      <c r="AL271" s="66"/>
      <c r="AM271" s="66"/>
      <c r="AN271" s="66"/>
      <c r="AO271" s="66"/>
      <c r="AP271" s="67">
        <f t="shared" si="21"/>
        <v>22</v>
      </c>
      <c r="AQ271" s="68">
        <f t="shared" si="22"/>
        <v>19.354545454545459</v>
      </c>
      <c r="AR271" s="68">
        <f>IFERROR(VLOOKUP(A271,Climatologia_TMAX!A:U,9+$E$2,FALSE),"")</f>
        <v>18.478554548666519</v>
      </c>
      <c r="AS271" s="68">
        <f t="shared" si="23"/>
        <v>0.87599090587893969</v>
      </c>
      <c r="AT271" s="74">
        <f t="shared" si="24"/>
        <v>21.8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23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1" s="69">
        <f t="shared" si="25"/>
        <v>-1.1999999999999993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29.6</v>
      </c>
      <c r="L272" s="66">
        <v>23.6</v>
      </c>
      <c r="M272" s="66">
        <v>22</v>
      </c>
      <c r="N272" s="66">
        <v>24.4</v>
      </c>
      <c r="O272" s="66">
        <v>29.2</v>
      </c>
      <c r="P272" s="66">
        <v>25.6</v>
      </c>
      <c r="Q272" s="66">
        <v>23.8</v>
      </c>
      <c r="R272" s="66">
        <v>24.2</v>
      </c>
      <c r="S272" s="66">
        <v>25</v>
      </c>
      <c r="T272" s="66">
        <v>20</v>
      </c>
      <c r="U272" s="66">
        <v>25</v>
      </c>
      <c r="V272" s="66">
        <v>18</v>
      </c>
      <c r="W272" s="66">
        <v>22.8</v>
      </c>
      <c r="X272" s="66">
        <v>24.6</v>
      </c>
      <c r="Y272" s="66">
        <v>25.8</v>
      </c>
      <c r="Z272" s="66">
        <v>23.6</v>
      </c>
      <c r="AA272" s="66">
        <v>26.4</v>
      </c>
      <c r="AB272" s="66">
        <v>19.600000000000001</v>
      </c>
      <c r="AC272" s="66">
        <v>25.4</v>
      </c>
      <c r="AD272" s="66">
        <v>25.6</v>
      </c>
      <c r="AE272" s="66">
        <v>22.2</v>
      </c>
      <c r="AF272" s="66">
        <v>25.6</v>
      </c>
      <c r="AG272" s="66">
        <v>25</v>
      </c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23</v>
      </c>
      <c r="AQ272" s="68">
        <f t="shared" si="22"/>
        <v>24.217391304347824</v>
      </c>
      <c r="AR272" s="68">
        <f>IFERROR(VLOOKUP(A272,Climatologia_TMAX!A:U,9+$E$2,FALSE),"")</f>
        <v>21.483451369051782</v>
      </c>
      <c r="AS272" s="68">
        <f t="shared" si="23"/>
        <v>2.7339399352960427</v>
      </c>
      <c r="AT272" s="74">
        <f t="shared" si="24"/>
        <v>29.6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26.6</v>
      </c>
      <c r="L273" s="66">
        <v>24.2</v>
      </c>
      <c r="M273" s="66">
        <v>25.8</v>
      </c>
      <c r="N273" s="66">
        <v>28.2</v>
      </c>
      <c r="O273" s="66">
        <v>29.2</v>
      </c>
      <c r="P273" s="66">
        <v>27</v>
      </c>
      <c r="Q273" s="66">
        <v>27.6</v>
      </c>
      <c r="R273" s="66">
        <v>26.6</v>
      </c>
      <c r="S273" s="66">
        <v>27.6</v>
      </c>
      <c r="T273" s="66">
        <v>23.4</v>
      </c>
      <c r="U273" s="66">
        <v>25.6</v>
      </c>
      <c r="V273" s="66">
        <v>22.2</v>
      </c>
      <c r="W273" s="66">
        <v>26</v>
      </c>
      <c r="X273" s="66">
        <v>26.6</v>
      </c>
      <c r="Y273" s="66">
        <v>28.4</v>
      </c>
      <c r="Z273" s="66">
        <v>26.6</v>
      </c>
      <c r="AA273" s="66">
        <v>26.6</v>
      </c>
      <c r="AB273" s="66">
        <v>24.8</v>
      </c>
      <c r="AC273" s="66">
        <v>26.6</v>
      </c>
      <c r="AD273" s="66">
        <v>26</v>
      </c>
      <c r="AE273" s="66">
        <v>23.8</v>
      </c>
      <c r="AF273" s="66">
        <v>26</v>
      </c>
      <c r="AG273" s="66">
        <v>28</v>
      </c>
      <c r="AH273" s="66">
        <v>25.6</v>
      </c>
      <c r="AI273" s="66"/>
      <c r="AJ273" s="66"/>
      <c r="AK273" s="66"/>
      <c r="AL273" s="66"/>
      <c r="AM273" s="66"/>
      <c r="AN273" s="66"/>
      <c r="AO273" s="66"/>
      <c r="AP273" s="67">
        <f t="shared" si="21"/>
        <v>24</v>
      </c>
      <c r="AQ273" s="68">
        <f t="shared" si="22"/>
        <v>26.208333333333339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38262</v>
      </c>
      <c r="AW273" s="69">
        <f t="shared" si="25"/>
        <v>-0.80000000000000071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25.2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16.600000000000001</v>
      </c>
      <c r="L275" s="66">
        <v>11.4</v>
      </c>
      <c r="M275" s="66">
        <v>10.6</v>
      </c>
      <c r="N275" s="66">
        <v>13</v>
      </c>
      <c r="O275" s="66">
        <v>16.399999999999999</v>
      </c>
      <c r="P275" s="66">
        <v>15.4</v>
      </c>
      <c r="Q275" s="66">
        <v>13.6</v>
      </c>
      <c r="R275" s="66">
        <v>13.4</v>
      </c>
      <c r="S275" s="66">
        <v>14.6</v>
      </c>
      <c r="T275" s="66">
        <v>12.6</v>
      </c>
      <c r="U275" s="109">
        <v>13</v>
      </c>
      <c r="V275" s="66">
        <v>11</v>
      </c>
      <c r="W275" s="66">
        <v>13.4</v>
      </c>
      <c r="X275" s="66">
        <v>14.6</v>
      </c>
      <c r="Y275" s="66">
        <v>15.4</v>
      </c>
      <c r="Z275" s="66">
        <v>14.2</v>
      </c>
      <c r="AA275" s="66">
        <v>14.2</v>
      </c>
      <c r="AB275" s="66">
        <v>12.4</v>
      </c>
      <c r="AC275" s="66">
        <v>14.6</v>
      </c>
      <c r="AD275" s="66">
        <v>14.2</v>
      </c>
      <c r="AE275" s="66">
        <v>12</v>
      </c>
      <c r="AF275" s="66">
        <v>15.2</v>
      </c>
      <c r="AG275" s="66">
        <v>13</v>
      </c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23</v>
      </c>
      <c r="AQ275" s="68">
        <f t="shared" si="22"/>
        <v>13.686956521739129</v>
      </c>
      <c r="AR275" s="68">
        <f>IFERROR(VLOOKUP(A275,Climatologia_TMAX!A:U,9+$E$2,FALSE),"")</f>
        <v>12.46474387230348</v>
      </c>
      <c r="AS275" s="68">
        <f t="shared" si="23"/>
        <v>1.2222126494356491</v>
      </c>
      <c r="AT275" s="74">
        <f t="shared" si="24"/>
        <v>16.600000000000001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5" s="69">
        <f t="shared" si="25"/>
        <v>0.20000000000000284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39.799999999999997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45569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20.96381123687328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29.2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37184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30.8</v>
      </c>
      <c r="L278" s="66">
        <v>29.6</v>
      </c>
      <c r="M278" s="66">
        <v>31.4</v>
      </c>
      <c r="N278" s="66">
        <v>32.4</v>
      </c>
      <c r="O278" s="66">
        <v>33.6</v>
      </c>
      <c r="P278" s="66">
        <v>33.799999999999997</v>
      </c>
      <c r="Q278" s="66">
        <v>30.8</v>
      </c>
      <c r="R278" s="66">
        <v>30.6</v>
      </c>
      <c r="S278" s="66">
        <v>31.6</v>
      </c>
      <c r="T278" s="66">
        <v>28.8</v>
      </c>
      <c r="U278" s="66">
        <v>30.8</v>
      </c>
      <c r="V278" s="66">
        <v>28.2</v>
      </c>
      <c r="W278" s="66">
        <v>29.6</v>
      </c>
      <c r="X278" s="66">
        <v>31</v>
      </c>
      <c r="Y278" s="66">
        <v>33.4</v>
      </c>
      <c r="Z278" s="66">
        <v>30.6</v>
      </c>
      <c r="AA278" s="66">
        <v>33</v>
      </c>
      <c r="AB278" s="66">
        <v>30</v>
      </c>
      <c r="AC278" s="66">
        <v>32.200000000000003</v>
      </c>
      <c r="AD278" s="66">
        <v>32.6</v>
      </c>
      <c r="AE278" s="66">
        <v>29</v>
      </c>
      <c r="AF278" s="66">
        <v>31.6</v>
      </c>
      <c r="AG278" s="66">
        <v>32.200000000000003</v>
      </c>
      <c r="AH278" s="66">
        <v>30.2</v>
      </c>
      <c r="AI278" s="66"/>
      <c r="AJ278" s="66"/>
      <c r="AK278" s="66"/>
      <c r="AL278" s="66"/>
      <c r="AM278" s="66"/>
      <c r="AN278" s="66"/>
      <c r="AO278" s="66"/>
      <c r="AP278" s="67">
        <f t="shared" si="21"/>
        <v>24</v>
      </c>
      <c r="AQ278" s="68">
        <f t="shared" si="22"/>
        <v>31.158333333333342</v>
      </c>
      <c r="AR278" s="68">
        <f>IFERROR(VLOOKUP(A278,Climatologia_TMAX!A:U,9+$E$2,FALSE),"")</f>
        <v>30.15034710932375</v>
      </c>
      <c r="AS278" s="68">
        <f t="shared" si="23"/>
        <v>1.007986224009592</v>
      </c>
      <c r="AT278" s="74">
        <f t="shared" si="24"/>
        <v>33.799999999999997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35.6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78" s="69">
        <f t="shared" si="25"/>
        <v>-1.8000000000000043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23.8</v>
      </c>
      <c r="L279" s="66">
        <v>22.6</v>
      </c>
      <c r="M279" s="66">
        <v>22.2</v>
      </c>
      <c r="N279" s="66">
        <v>20.399999999999999</v>
      </c>
      <c r="O279" s="66">
        <v>25.8</v>
      </c>
      <c r="P279" s="66">
        <v>23.2</v>
      </c>
      <c r="Q279" s="66">
        <v>21.8</v>
      </c>
      <c r="R279" s="66">
        <v>23.4</v>
      </c>
      <c r="S279" s="66">
        <v>24.2</v>
      </c>
      <c r="T279" s="66">
        <v>19.8</v>
      </c>
      <c r="U279" s="66">
        <v>22.2</v>
      </c>
      <c r="V279" s="66">
        <v>19.2</v>
      </c>
      <c r="W279" s="66">
        <v>21.2</v>
      </c>
      <c r="X279" s="66">
        <v>23.4</v>
      </c>
      <c r="Y279" s="66">
        <v>24.4</v>
      </c>
      <c r="Z279" s="66">
        <v>22.6</v>
      </c>
      <c r="AA279" s="66">
        <v>24.4</v>
      </c>
      <c r="AB279" s="66">
        <v>19.600000000000001</v>
      </c>
      <c r="AC279" s="66">
        <v>22.6</v>
      </c>
      <c r="AD279" s="66">
        <v>23.2</v>
      </c>
      <c r="AE279" s="66">
        <v>21.2</v>
      </c>
      <c r="AF279" s="66">
        <v>22.4</v>
      </c>
      <c r="AG279" s="66">
        <v>23.2</v>
      </c>
      <c r="AH279" s="66">
        <v>20.8</v>
      </c>
      <c r="AI279" s="66"/>
      <c r="AJ279" s="66"/>
      <c r="AK279" s="66"/>
      <c r="AL279" s="66"/>
      <c r="AM279" s="66"/>
      <c r="AN279" s="66"/>
      <c r="AO279" s="66"/>
      <c r="AP279" s="67">
        <f t="shared" si="21"/>
        <v>24</v>
      </c>
      <c r="AQ279" s="68">
        <f t="shared" si="22"/>
        <v>22.399999999999995</v>
      </c>
      <c r="AR279" s="68">
        <f>IFERROR(VLOOKUP(A279,Climatologia_TMAX!A:U,9+$E$2,FALSE),"")</f>
        <v>21.130903225806449</v>
      </c>
      <c r="AS279" s="68">
        <f t="shared" si="23"/>
        <v>1.2690967741935459</v>
      </c>
      <c r="AT279" s="74">
        <f t="shared" si="24"/>
        <v>25.8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25.6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279" s="69">
        <f t="shared" si="25"/>
        <v>0.19999999999999929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31.8</v>
      </c>
      <c r="L280" s="66">
        <v>28.6</v>
      </c>
      <c r="M280" s="66">
        <v>29.8</v>
      </c>
      <c r="N280" s="66">
        <v>33.200000000000003</v>
      </c>
      <c r="O280" s="66">
        <v>34.6</v>
      </c>
      <c r="P280" s="66">
        <v>32.6</v>
      </c>
      <c r="Q280" s="66">
        <v>31.6</v>
      </c>
      <c r="R280" s="66">
        <v>31.6</v>
      </c>
      <c r="S280" s="66">
        <v>31.8</v>
      </c>
      <c r="T280" s="66">
        <v>26.8</v>
      </c>
      <c r="U280" s="66">
        <v>31.4</v>
      </c>
      <c r="V280" s="66">
        <v>27.2</v>
      </c>
      <c r="W280" s="66">
        <v>29.6</v>
      </c>
      <c r="X280" s="66">
        <v>31.6</v>
      </c>
      <c r="Y280" s="66">
        <v>33.799999999999997</v>
      </c>
      <c r="Z280" s="66">
        <v>30.8</v>
      </c>
      <c r="AA280" s="66">
        <v>31.6</v>
      </c>
      <c r="AB280" s="66">
        <v>28.4</v>
      </c>
      <c r="AC280" s="66">
        <v>31.6</v>
      </c>
      <c r="AD280" s="66">
        <v>31.4</v>
      </c>
      <c r="AE280" s="66">
        <v>26.4</v>
      </c>
      <c r="AF280" s="66">
        <v>30.4</v>
      </c>
      <c r="AG280" s="66">
        <v>31.8</v>
      </c>
      <c r="AH280" s="66">
        <v>30.4</v>
      </c>
      <c r="AI280" s="66"/>
      <c r="AJ280" s="66"/>
      <c r="AK280" s="66"/>
      <c r="AL280" s="66"/>
      <c r="AM280" s="66"/>
      <c r="AN280" s="66"/>
      <c r="AO280" s="66"/>
      <c r="AP280" s="67">
        <f t="shared" si="21"/>
        <v>24</v>
      </c>
      <c r="AQ280" s="68">
        <f t="shared" si="22"/>
        <v>30.783333333333328</v>
      </c>
      <c r="AR280" s="68">
        <f>IFERROR(VLOOKUP(A280,Climatologia_TMAX!A:U,9+$E$2,FALSE),"")</f>
        <v>28.78996989247312</v>
      </c>
      <c r="AS280" s="68">
        <f t="shared" si="23"/>
        <v>1.9933634408602074</v>
      </c>
      <c r="AT280" s="74">
        <f t="shared" si="24"/>
        <v>34.6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35.6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44125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20.2</v>
      </c>
      <c r="L281" s="66">
        <v>20</v>
      </c>
      <c r="M281" s="66">
        <v>21.2</v>
      </c>
      <c r="N281" s="66">
        <v>22.8</v>
      </c>
      <c r="O281" s="66">
        <v>23.6</v>
      </c>
      <c r="P281" s="66">
        <v>22</v>
      </c>
      <c r="Q281" s="66">
        <v>21.4</v>
      </c>
      <c r="R281" s="66">
        <v>20.8</v>
      </c>
      <c r="S281" s="66">
        <v>21</v>
      </c>
      <c r="T281" s="66">
        <v>17.399999999999999</v>
      </c>
      <c r="U281" s="66">
        <v>21.4</v>
      </c>
      <c r="V281" s="66">
        <v>18</v>
      </c>
      <c r="W281" s="66">
        <v>19.600000000000001</v>
      </c>
      <c r="X281" s="66">
        <v>21</v>
      </c>
      <c r="Y281" s="66">
        <v>23.2</v>
      </c>
      <c r="Z281" s="66">
        <v>21.4</v>
      </c>
      <c r="AA281" s="66">
        <v>22.2</v>
      </c>
      <c r="AB281" s="66">
        <v>20.2</v>
      </c>
      <c r="AC281" s="66">
        <v>21.8</v>
      </c>
      <c r="AD281" s="66">
        <v>22</v>
      </c>
      <c r="AE281" s="66">
        <v>19.8</v>
      </c>
      <c r="AF281" s="66">
        <v>20.399999999999999</v>
      </c>
      <c r="AG281" s="66">
        <v>23.4</v>
      </c>
      <c r="AH281" s="66">
        <v>21.4</v>
      </c>
      <c r="AI281" s="66"/>
      <c r="AJ281" s="66"/>
      <c r="AK281" s="66"/>
      <c r="AL281" s="66"/>
      <c r="AM281" s="66"/>
      <c r="AN281" s="66"/>
      <c r="AO281" s="66"/>
      <c r="AP281" s="67">
        <f t="shared" si="21"/>
        <v>24</v>
      </c>
      <c r="AQ281" s="68">
        <f t="shared" si="22"/>
        <v>21.091666666666665</v>
      </c>
      <c r="AR281" s="68">
        <f>IFERROR(VLOOKUP(A281,Climatologia_TMAX!A:U,9+$E$2,FALSE),"")</f>
        <v>19.74925870014302</v>
      </c>
      <c r="AS281" s="68">
        <f t="shared" si="23"/>
        <v>1.3424079665236448</v>
      </c>
      <c r="AT281" s="74">
        <f t="shared" si="24"/>
        <v>23.6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0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17.511598029984679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21.6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41192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21.8</v>
      </c>
      <c r="L284" s="66">
        <v>19.399999999999999</v>
      </c>
      <c r="M284" s="66">
        <v>18.8</v>
      </c>
      <c r="N284" s="66">
        <v>21.6</v>
      </c>
      <c r="O284" s="66">
        <v>24.2</v>
      </c>
      <c r="P284" s="66">
        <v>19.8</v>
      </c>
      <c r="Q284" s="66">
        <v>21.2</v>
      </c>
      <c r="R284" s="66">
        <v>20.6</v>
      </c>
      <c r="S284" s="66">
        <v>23.2</v>
      </c>
      <c r="T284" s="66">
        <v>19.600000000000001</v>
      </c>
      <c r="U284" s="66">
        <v>21.4</v>
      </c>
      <c r="V284" s="66">
        <v>19.8</v>
      </c>
      <c r="W284" s="66">
        <v>19.2</v>
      </c>
      <c r="X284" s="66">
        <v>23</v>
      </c>
      <c r="Y284" s="66">
        <v>23.4</v>
      </c>
      <c r="Z284" s="66">
        <v>21.4</v>
      </c>
      <c r="AA284" s="66">
        <v>21.8</v>
      </c>
      <c r="AB284" s="66">
        <v>25</v>
      </c>
      <c r="AC284" s="66">
        <v>22.4</v>
      </c>
      <c r="AD284" s="66">
        <v>21.6</v>
      </c>
      <c r="AE284" s="66">
        <v>18.600000000000001</v>
      </c>
      <c r="AF284" s="66">
        <v>21.4</v>
      </c>
      <c r="AG284" s="66">
        <v>20.8</v>
      </c>
      <c r="AH284" s="66">
        <v>19.600000000000001</v>
      </c>
      <c r="AI284" s="66"/>
      <c r="AJ284" s="66"/>
      <c r="AK284" s="66"/>
      <c r="AL284" s="66"/>
      <c r="AM284" s="66"/>
      <c r="AN284" s="66"/>
      <c r="AO284" s="66"/>
      <c r="AP284" s="67">
        <f t="shared" si="21"/>
        <v>24</v>
      </c>
      <c r="AQ284" s="68">
        <f t="shared" si="22"/>
        <v>21.233333333333331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25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44129</v>
      </c>
      <c r="AW284" s="69">
        <f t="shared" si="25"/>
        <v>2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22.6</v>
      </c>
      <c r="L285" s="66">
        <v>20</v>
      </c>
      <c r="M285" s="66">
        <v>20.399999999999999</v>
      </c>
      <c r="N285" s="66">
        <v>21.2</v>
      </c>
      <c r="O285" s="66">
        <v>25</v>
      </c>
      <c r="P285" s="66">
        <v>22</v>
      </c>
      <c r="Q285" s="66">
        <v>21.8</v>
      </c>
      <c r="R285" s="66">
        <v>21.8</v>
      </c>
      <c r="S285" s="66">
        <v>23</v>
      </c>
      <c r="T285" s="66">
        <v>19</v>
      </c>
      <c r="U285" s="109">
        <v>22</v>
      </c>
      <c r="V285" s="66">
        <v>19</v>
      </c>
      <c r="W285" s="66">
        <v>19.399999999999999</v>
      </c>
      <c r="X285" s="66">
        <v>22.8</v>
      </c>
      <c r="Y285" s="66">
        <v>24.4</v>
      </c>
      <c r="Z285" s="66">
        <v>23</v>
      </c>
      <c r="AA285" s="66">
        <v>22.4</v>
      </c>
      <c r="AB285" s="66">
        <v>19.8</v>
      </c>
      <c r="AC285" s="66">
        <v>23</v>
      </c>
      <c r="AD285" s="66">
        <v>22</v>
      </c>
      <c r="AE285" s="66">
        <v>20.6</v>
      </c>
      <c r="AF285" s="66">
        <v>21.6</v>
      </c>
      <c r="AG285" s="66">
        <v>23.2</v>
      </c>
      <c r="AH285" s="66">
        <v>21</v>
      </c>
      <c r="AI285" s="66"/>
      <c r="AJ285" s="66"/>
      <c r="AK285" s="66"/>
      <c r="AL285" s="66"/>
      <c r="AM285" s="66"/>
      <c r="AN285" s="66"/>
      <c r="AO285" s="66"/>
      <c r="AP285" s="67">
        <f t="shared" si="21"/>
        <v>24</v>
      </c>
      <c r="AQ285" s="68">
        <f t="shared" si="22"/>
        <v>21.708333333333332</v>
      </c>
      <c r="AR285" s="68">
        <f>IFERROR(VLOOKUP(A285,Climatologia_TMAX!A:U,9+$E$2,FALSE),"")</f>
        <v>19.877590063924739</v>
      </c>
      <c r="AS285" s="68">
        <f t="shared" si="23"/>
        <v>1.8307432694085932</v>
      </c>
      <c r="AT285" s="74">
        <f t="shared" si="24"/>
        <v>25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24.6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5" s="69">
        <f t="shared" si="25"/>
        <v>0.39999999999999858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31.322301410738561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36.799999999999997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44847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19.600000000000001</v>
      </c>
      <c r="L287" s="66">
        <v>17.600000000000001</v>
      </c>
      <c r="M287" s="66">
        <v>17.600000000000001</v>
      </c>
      <c r="N287" s="66">
        <v>21</v>
      </c>
      <c r="O287" s="66">
        <v>21.2</v>
      </c>
      <c r="P287" s="66">
        <v>19</v>
      </c>
      <c r="Q287" s="66">
        <v>19.8</v>
      </c>
      <c r="R287" s="66">
        <v>19.600000000000001</v>
      </c>
      <c r="S287" s="66">
        <v>17.600000000000001</v>
      </c>
      <c r="T287" s="66">
        <v>20</v>
      </c>
      <c r="U287" s="66">
        <v>19.399999999999999</v>
      </c>
      <c r="V287" s="66">
        <v>17</v>
      </c>
      <c r="W287" s="66">
        <v>18</v>
      </c>
      <c r="X287" s="66">
        <v>21.4</v>
      </c>
      <c r="Y287" s="66">
        <v>22</v>
      </c>
      <c r="Z287" s="66">
        <v>20.6</v>
      </c>
      <c r="AA287" s="66">
        <v>19.8</v>
      </c>
      <c r="AB287" s="66">
        <v>19.2</v>
      </c>
      <c r="AC287" s="66">
        <v>19</v>
      </c>
      <c r="AD287" s="66">
        <v>19.8</v>
      </c>
      <c r="AE287" s="66">
        <v>18.2</v>
      </c>
      <c r="AF287" s="66">
        <v>20.6</v>
      </c>
      <c r="AG287" s="66">
        <v>21.2</v>
      </c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23</v>
      </c>
      <c r="AQ287" s="68">
        <f t="shared" si="22"/>
        <v>19.530434782608697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22.2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7" s="69">
        <f t="shared" si="25"/>
        <v>-0.19999999999999929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25.304799281117951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autoFilter ref="AH1:AH472" xr:uid="{00000000-0001-0000-0000-000000000000}"/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workbookViewId="0">
      <selection activeCell="R5" sqref="R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31.608866726334998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84" width="11.42578125" style="42" customWidth="1"/>
    <col min="185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2026-10-25T15:11:33Z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2026-10-25T15:11:32Z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4d1e547f-877a-41a0-9085-f2e837645974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