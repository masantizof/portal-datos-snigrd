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C067A03-F98C-47CC-8163-DC8FE0BA5E45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P5" i="1" s="1"/>
  <c r="AK8" i="1"/>
  <c r="AM8" i="1" s="1"/>
  <c r="AO12" i="1"/>
  <c r="AP12" i="1" s="1"/>
  <c r="AK10" i="1"/>
  <c r="AM10" i="1" s="1"/>
  <c r="AK6" i="1"/>
  <c r="AM6" i="1" s="1"/>
  <c r="AO7" i="1"/>
  <c r="AP7" i="1" s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8" i="1"/>
  <c r="AP9" i="1"/>
  <c r="AP10" i="1"/>
  <c r="AP11" i="1"/>
  <c r="AP13" i="1"/>
  <c r="AP14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<sst xmlns="http://schemas.openxmlformats.org/spreadsheetml/2006/main" count="603" uniqueCount="272">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</sst>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4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right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V4" activePane="bottomRight" state="frozen"/>
      <selection pane="topRight" activeCell="E1" sqref="E1"/>
      <selection pane="bottomLeft" activeCell="A4" sqref="A4"/>
      <selection pane="bottomRight" activeCell="AF31" sqref="AF3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>
        <v>31.7</v>
      </c>
      <c r="P5" s="63">
        <v>31.9</v>
      </c>
      <c r="Q5" s="63">
        <v>32.4</v>
      </c>
      <c r="R5" s="63">
        <v>32.1</v>
      </c>
      <c r="S5" s="63">
        <v>32.6</v>
      </c>
      <c r="T5" s="63">
        <v>32.299999999999997</v>
      </c>
      <c r="U5" s="63">
        <v>30</v>
      </c>
      <c r="V5" s="63">
        <v>31.5</v>
      </c>
      <c r="W5" s="63">
        <v>30.8</v>
      </c>
      <c r="X5" s="63">
        <v>31.5</v>
      </c>
      <c r="Y5" s="63">
        <v>30.6</v>
      </c>
      <c r="Z5" s="63">
        <v>31.6</v>
      </c>
      <c r="AA5" s="63">
        <v>31</v>
      </c>
      <c r="AB5" s="63">
        <v>30.7</v>
      </c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30.7</v>
      </c>
      <c r="AK5" s="21">
        <f>+MAX($E5:$AI5)</f>
        <v>32.6</v>
      </c>
      <c r="AL5" s="22">
        <v>33.700000000000003</v>
      </c>
      <c r="AM5" s="23">
        <f>IF(AK5&gt;0,$AK5-$AL5,"")</f>
        <v>-1.1000000000000014</v>
      </c>
      <c r="AN5" s="23">
        <v>30.443359430706479</v>
      </c>
      <c r="AO5" s="23">
        <f>IF(COUNTIF(E5:AI5,"&gt;0")&gt;=15,AVERAGE(E5:AI5),"")</f>
        <v>31.75</v>
      </c>
      <c r="AP5" s="23">
        <f>IF(AN5&gt;0,IFERROR(AO5-AN5,""),"")</f>
        <v>1.3066405692935206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>
        <v>31.1</v>
      </c>
      <c r="P6" s="63">
        <v>31.7</v>
      </c>
      <c r="Q6" s="63">
        <v>32.1</v>
      </c>
      <c r="R6" s="63">
        <v>32.4</v>
      </c>
      <c r="S6" s="63">
        <v>32.1</v>
      </c>
      <c r="T6" s="63">
        <v>32.700000000000003</v>
      </c>
      <c r="U6" s="63">
        <v>30.9</v>
      </c>
      <c r="V6" s="63">
        <v>31.4</v>
      </c>
      <c r="W6" s="63">
        <v>29.4</v>
      </c>
      <c r="X6" s="63">
        <v>31.7</v>
      </c>
      <c r="Y6" s="63">
        <v>31.5</v>
      </c>
      <c r="Z6" s="63">
        <v>31.4</v>
      </c>
      <c r="AA6" s="63">
        <v>29.1</v>
      </c>
      <c r="AB6" s="63">
        <v>31.1</v>
      </c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31.1</v>
      </c>
      <c r="AK6" s="21">
        <f t="shared" ref="AK6:AK48" si="1">+MAX($E6:$AI6)</f>
        <v>32.700000000000003</v>
      </c>
      <c r="AL6" s="22">
        <v>32.799999999999997</v>
      </c>
      <c r="AM6" s="23">
        <f t="shared" ref="AM6:AM48" si="2">IF(AK6&gt;0,$AK6-$AL6,"")</f>
        <v>-9.9999999999994316E-2</v>
      </c>
      <c r="AN6" s="23">
        <v>30.717848543332419</v>
      </c>
      <c r="AO6" s="23">
        <f t="shared" ref="AO6:AO15" si="3">IF(COUNTIF(E6:AI6,"&gt;0")&gt;=15,AVERAGE(E6:AI6),"")</f>
        <v>31.445833333333336</v>
      </c>
      <c r="AP6" s="23">
        <f t="shared" ref="AP6:AP48" si="4">IF(AN6&gt;0,IFERROR(AO6-AN6,""),"")</f>
        <v>0.72798479000091731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>
        <v>35.200000000000003</v>
      </c>
      <c r="P7" s="63">
        <v>34.799999999999997</v>
      </c>
      <c r="Q7" s="63">
        <v>32.299999999999997</v>
      </c>
      <c r="R7" s="63">
        <v>32.6</v>
      </c>
      <c r="S7" s="63">
        <v>35.200000000000003</v>
      </c>
      <c r="T7" s="63">
        <v>34.6</v>
      </c>
      <c r="U7" s="63">
        <v>34.700000000000003</v>
      </c>
      <c r="V7" s="63">
        <v>33.6</v>
      </c>
      <c r="W7" s="63">
        <v>33.4</v>
      </c>
      <c r="X7" s="63">
        <v>33.630000000000003</v>
      </c>
      <c r="Y7" s="67">
        <v>30.4</v>
      </c>
      <c r="Z7" s="63">
        <v>34.4</v>
      </c>
      <c r="AA7" s="63">
        <v>34.6</v>
      </c>
      <c r="AB7" s="63">
        <v>34</v>
      </c>
      <c r="AC7" s="63"/>
      <c r="AD7" s="63"/>
      <c r="AE7" s="63"/>
      <c r="AF7" s="63"/>
      <c r="AG7" s="63"/>
      <c r="AH7" s="63"/>
      <c r="AI7" s="63"/>
      <c r="AJ7" s="36">
        <f t="shared" si="0"/>
        <v>34</v>
      </c>
      <c r="AK7" s="21">
        <f t="shared" si="1"/>
        <v>35.200000000000003</v>
      </c>
      <c r="AL7" s="22">
        <v>36.200000000000003</v>
      </c>
      <c r="AM7" s="23">
        <f t="shared" si="2"/>
        <v>-1</v>
      </c>
      <c r="AN7" s="23">
        <v>32.441611386675547</v>
      </c>
      <c r="AO7" s="23">
        <f t="shared" si="3"/>
        <v>33.85125</v>
      </c>
      <c r="AP7" s="23">
        <f t="shared" si="4"/>
        <v>1.4096386133244536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>
        <v>34.1</v>
      </c>
      <c r="P8" s="63">
        <v>33.9</v>
      </c>
      <c r="Q8" s="63">
        <v>30.8</v>
      </c>
      <c r="R8" s="63">
        <v>32.1</v>
      </c>
      <c r="S8" s="63">
        <v>33.200000000000003</v>
      </c>
      <c r="T8" s="63">
        <v>34.700000000000003</v>
      </c>
      <c r="U8" s="63">
        <v>33.1</v>
      </c>
      <c r="V8" s="63">
        <v>32</v>
      </c>
      <c r="W8" s="63">
        <v>33.200000000000003</v>
      </c>
      <c r="X8" s="63">
        <v>31.6</v>
      </c>
      <c r="Y8" s="63">
        <v>29.7</v>
      </c>
      <c r="Z8" s="63">
        <v>31.6</v>
      </c>
      <c r="AA8" s="63">
        <v>33.299999999999997</v>
      </c>
      <c r="AB8" s="63">
        <v>30.8</v>
      </c>
      <c r="AC8" s="63"/>
      <c r="AD8" s="63"/>
      <c r="AE8" s="63"/>
      <c r="AF8" s="63"/>
      <c r="AG8" s="63"/>
      <c r="AH8" s="63"/>
      <c r="AI8" s="63"/>
      <c r="AJ8" s="36">
        <f t="shared" si="0"/>
        <v>30.8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>
        <f t="shared" si="3"/>
        <v>32.50416666666667</v>
      </c>
      <c r="AP8" s="23">
        <f t="shared" si="4"/>
        <v>0.83458935854654115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>
        <v>36.299999999999997</v>
      </c>
      <c r="P9" s="63">
        <v>34.4</v>
      </c>
      <c r="Q9" s="63">
        <v>30.7</v>
      </c>
      <c r="R9" s="63">
        <v>34.700000000000003</v>
      </c>
      <c r="S9" s="63">
        <v>35.1</v>
      </c>
      <c r="T9" s="63">
        <v>36.9</v>
      </c>
      <c r="U9" s="63">
        <v>35.9</v>
      </c>
      <c r="V9" s="63">
        <v>33.799999999999997</v>
      </c>
      <c r="W9" s="63">
        <v>34.299999999999997</v>
      </c>
      <c r="X9" s="63">
        <v>33.5</v>
      </c>
      <c r="Y9" s="63">
        <v>29</v>
      </c>
      <c r="Z9" s="63">
        <v>34.700000000000003</v>
      </c>
      <c r="AA9" s="63">
        <v>35.799999999999997</v>
      </c>
      <c r="AB9" s="63">
        <v>32.200000000000003</v>
      </c>
      <c r="AC9" s="63"/>
      <c r="AD9" s="63"/>
      <c r="AE9" s="63"/>
      <c r="AF9" s="63"/>
      <c r="AG9" s="63"/>
      <c r="AH9" s="63"/>
      <c r="AI9" s="63"/>
      <c r="AJ9" s="36">
        <f t="shared" si="0"/>
        <v>32.200000000000003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>
        <f t="shared" si="3"/>
        <v>34.116666666666667</v>
      </c>
      <c r="AP9" s="23">
        <f t="shared" si="4"/>
        <v>1.3549028092315396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>
        <v>34.5</v>
      </c>
      <c r="P10" s="63">
        <v>32.9</v>
      </c>
      <c r="Q10" s="63">
        <v>29.7</v>
      </c>
      <c r="R10" s="63">
        <v>34.200000000000003</v>
      </c>
      <c r="S10" s="63">
        <v>34.6</v>
      </c>
      <c r="T10" s="63">
        <v>35.5</v>
      </c>
      <c r="U10" s="63">
        <v>34.9</v>
      </c>
      <c r="V10" s="63">
        <v>31.5</v>
      </c>
      <c r="W10" s="63">
        <v>33.4</v>
      </c>
      <c r="X10" s="63">
        <v>35.5</v>
      </c>
      <c r="Y10" s="63">
        <v>30</v>
      </c>
      <c r="Z10" s="63">
        <v>31.2</v>
      </c>
      <c r="AA10" s="63">
        <v>33.799999999999997</v>
      </c>
      <c r="AB10" s="63">
        <v>32.299999999999997</v>
      </c>
      <c r="AC10" s="63"/>
      <c r="AD10" s="63"/>
      <c r="AE10" s="63"/>
      <c r="AF10" s="63"/>
      <c r="AG10" s="63"/>
      <c r="AH10" s="63"/>
      <c r="AI10" s="63"/>
      <c r="AJ10" s="36">
        <f t="shared" si="0"/>
        <v>32.299999999999997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>
        <f t="shared" si="3"/>
        <v>33.74166666666666</v>
      </c>
      <c r="AP10" s="23">
        <f t="shared" si="4"/>
        <v>0.95570231095774716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>
        <v>35.6</v>
      </c>
      <c r="P11" s="63">
        <v>32.799999999999997</v>
      </c>
      <c r="Q11" s="63">
        <v>32.799999999999997</v>
      </c>
      <c r="R11" s="63">
        <v>32.5</v>
      </c>
      <c r="S11" s="63">
        <v>36</v>
      </c>
      <c r="T11" s="63">
        <v>36.700000000000003</v>
      </c>
      <c r="U11" s="63">
        <v>34.4</v>
      </c>
      <c r="V11" s="63">
        <v>32.9</v>
      </c>
      <c r="W11" s="63">
        <v>34.799999999999997</v>
      </c>
      <c r="X11" s="63">
        <v>35.799999999999997</v>
      </c>
      <c r="Y11" s="63">
        <v>28.8</v>
      </c>
      <c r="Z11" s="63">
        <v>34</v>
      </c>
      <c r="AA11" s="63">
        <v>35.4</v>
      </c>
      <c r="AB11" s="63">
        <v>33.299999999999997</v>
      </c>
      <c r="AC11" s="63"/>
      <c r="AD11" s="63"/>
      <c r="AE11" s="63"/>
      <c r="AF11" s="63"/>
      <c r="AG11" s="63"/>
      <c r="AH11" s="63"/>
      <c r="AI11" s="63"/>
      <c r="AJ11" s="36">
        <f t="shared" si="0"/>
        <v>33.299999999999997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>
        <f t="shared" si="3"/>
        <v>34.437499999999993</v>
      </c>
      <c r="AP11" s="23">
        <f t="shared" si="4"/>
        <v>1.4000527678215704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>
        <v>33.4</v>
      </c>
      <c r="O12" s="63">
        <v>33.799999999999997</v>
      </c>
      <c r="P12" s="63">
        <v>31.4</v>
      </c>
      <c r="Q12" s="63">
        <v>27.8</v>
      </c>
      <c r="R12" s="63">
        <v>32.799999999999997</v>
      </c>
      <c r="S12" s="63">
        <v>34.799999999999997</v>
      </c>
      <c r="T12" s="63">
        <v>35</v>
      </c>
      <c r="U12" s="63">
        <v>29.4</v>
      </c>
      <c r="V12" s="63">
        <v>29.2</v>
      </c>
      <c r="W12" s="63">
        <v>32.200000000000003</v>
      </c>
      <c r="X12" s="63">
        <v>29</v>
      </c>
      <c r="Y12" s="63">
        <v>30.4</v>
      </c>
      <c r="Z12" s="63">
        <v>33.4</v>
      </c>
      <c r="AA12" s="63">
        <v>33.6</v>
      </c>
      <c r="AB12" s="83">
        <v>26.6</v>
      </c>
      <c r="AC12" s="63"/>
      <c r="AD12" s="63"/>
      <c r="AE12" s="63"/>
      <c r="AF12" s="63"/>
      <c r="AG12" s="63"/>
      <c r="AH12" s="63"/>
      <c r="AI12" s="63"/>
      <c r="AJ12" s="36">
        <f t="shared" si="0"/>
        <v>26.6</v>
      </c>
      <c r="AK12" s="21">
        <f t="shared" si="1"/>
        <v>35</v>
      </c>
      <c r="AL12" s="22">
        <v>35.4</v>
      </c>
      <c r="AM12" s="23">
        <f t="shared" si="2"/>
        <v>-0.39999999999999858</v>
      </c>
      <c r="AN12" s="23">
        <v>31.112293906810031</v>
      </c>
      <c r="AO12" s="23">
        <f t="shared" si="3"/>
        <v>31.375000000000004</v>
      </c>
      <c r="AP12" s="23">
        <f t="shared" si="4"/>
        <v>0.26270609318997273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>
        <v>34.799999999999997</v>
      </c>
      <c r="P13" s="63">
        <v>32</v>
      </c>
      <c r="Q13" s="63">
        <v>28.4</v>
      </c>
      <c r="R13" s="63">
        <v>33.799999999999997</v>
      </c>
      <c r="S13" s="63">
        <v>35.4</v>
      </c>
      <c r="T13" s="63">
        <v>35.4</v>
      </c>
      <c r="U13" s="63">
        <v>32.200000000000003</v>
      </c>
      <c r="V13" s="63">
        <v>29</v>
      </c>
      <c r="W13" s="63">
        <v>32.799999999999997</v>
      </c>
      <c r="X13" s="63">
        <v>29</v>
      </c>
      <c r="Y13" s="63">
        <v>33.4</v>
      </c>
      <c r="Z13" s="63">
        <v>34</v>
      </c>
      <c r="AA13" s="63">
        <v>34.200000000000003</v>
      </c>
      <c r="AB13" s="83">
        <v>26.6</v>
      </c>
      <c r="AC13" s="63"/>
      <c r="AD13" s="63"/>
      <c r="AE13" s="63"/>
      <c r="AF13" s="63"/>
      <c r="AG13" s="63"/>
      <c r="AH13" s="63"/>
      <c r="AI13" s="63"/>
      <c r="AJ13" s="36">
        <f t="shared" si="0"/>
        <v>26.6</v>
      </c>
      <c r="AK13" s="21">
        <f t="shared" si="1"/>
        <v>35.4</v>
      </c>
      <c r="AL13" s="22">
        <v>35.799999999999997</v>
      </c>
      <c r="AM13" s="23">
        <f t="shared" si="2"/>
        <v>-0.39999999999999858</v>
      </c>
      <c r="AN13" s="23">
        <v>31.684333333333331</v>
      </c>
      <c r="AO13" s="23">
        <f t="shared" si="3"/>
        <v>32.175000000000004</v>
      </c>
      <c r="AP13" s="23">
        <f t="shared" si="4"/>
        <v>0.49066666666667302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>
        <v>34.1</v>
      </c>
      <c r="P14" s="63">
        <v>32.700000000000003</v>
      </c>
      <c r="Q14" s="63">
        <v>31</v>
      </c>
      <c r="R14" s="63">
        <v>34.200000000000003</v>
      </c>
      <c r="S14" s="63">
        <v>35.299999999999997</v>
      </c>
      <c r="T14" s="63">
        <v>35.1</v>
      </c>
      <c r="U14" s="63">
        <v>29.7</v>
      </c>
      <c r="V14" s="63">
        <v>31</v>
      </c>
      <c r="W14" s="63">
        <v>33.9</v>
      </c>
      <c r="X14" s="63">
        <v>30.5</v>
      </c>
      <c r="Y14" s="63">
        <v>30.3</v>
      </c>
      <c r="Z14" s="63">
        <v>33.6</v>
      </c>
      <c r="AA14" s="63">
        <v>33.9</v>
      </c>
      <c r="AB14" s="63">
        <v>25.5</v>
      </c>
      <c r="AC14" s="63"/>
      <c r="AD14" s="63"/>
      <c r="AE14" s="63"/>
      <c r="AF14" s="63"/>
      <c r="AG14" s="63"/>
      <c r="AH14" s="63"/>
      <c r="AI14" s="63"/>
      <c r="AJ14" s="36">
        <f t="shared" si="0"/>
        <v>25.5</v>
      </c>
      <c r="AK14" s="21">
        <f t="shared" si="1"/>
        <v>35.299999999999997</v>
      </c>
      <c r="AL14" s="22">
        <v>36.5</v>
      </c>
      <c r="AM14" s="23">
        <f t="shared" si="2"/>
        <v>-1.2000000000000028</v>
      </c>
      <c r="AN14" s="23">
        <v>32.443225831073327</v>
      </c>
      <c r="AO14" s="23">
        <f t="shared" si="3"/>
        <v>32.37916666666667</v>
      </c>
      <c r="AP14" s="23">
        <f t="shared" si="4"/>
        <v>-6.4059164406657487E-2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>
        <v>32.6</v>
      </c>
      <c r="P15" s="63">
        <v>29.3</v>
      </c>
      <c r="Q15" s="63">
        <v>26.8</v>
      </c>
      <c r="R15" s="63">
        <v>34.200000000000003</v>
      </c>
      <c r="S15" s="63">
        <v>33.200000000000003</v>
      </c>
      <c r="T15" s="63">
        <v>31.7</v>
      </c>
      <c r="U15" s="63">
        <v>32</v>
      </c>
      <c r="V15" s="63">
        <v>33.4</v>
      </c>
      <c r="W15" s="63">
        <v>32.6</v>
      </c>
      <c r="X15" s="63">
        <v>31.8</v>
      </c>
      <c r="Y15" s="63">
        <v>27.3</v>
      </c>
      <c r="Z15" s="63">
        <v>33.1</v>
      </c>
      <c r="AA15" s="63">
        <v>31.5</v>
      </c>
      <c r="AB15" s="63">
        <v>29.4</v>
      </c>
      <c r="AC15" s="63"/>
      <c r="AD15" s="63"/>
      <c r="AE15" s="63"/>
      <c r="AF15" s="63"/>
      <c r="AG15" s="63"/>
      <c r="AH15" s="63"/>
      <c r="AI15" s="63"/>
      <c r="AJ15" s="36">
        <f t="shared" si="0"/>
        <v>29.4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>
        <f t="shared" si="3"/>
        <v>31.595833333333331</v>
      </c>
      <c r="AP15" s="23">
        <f t="shared" si="4"/>
        <v>-0.14916570774679982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>
        <v>34.6</v>
      </c>
      <c r="P17" s="63">
        <v>27.4</v>
      </c>
      <c r="Q17" s="63">
        <v>27.2</v>
      </c>
      <c r="R17" s="63">
        <v>33.799999999999997</v>
      </c>
      <c r="S17" s="63">
        <v>35.299999999999997</v>
      </c>
      <c r="T17" s="63">
        <v>32</v>
      </c>
      <c r="U17" s="63">
        <v>30.5</v>
      </c>
      <c r="V17" s="63">
        <v>27.4</v>
      </c>
      <c r="W17" s="63">
        <v>31.9</v>
      </c>
      <c r="X17" s="63">
        <v>34.200000000000003</v>
      </c>
      <c r="Y17" s="63">
        <v>30</v>
      </c>
      <c r="Z17" s="63">
        <v>31.2</v>
      </c>
      <c r="AA17" s="63">
        <v>35.4</v>
      </c>
      <c r="AB17" s="63">
        <v>29.2</v>
      </c>
      <c r="AC17" s="63"/>
      <c r="AD17" s="63"/>
      <c r="AE17" s="63"/>
      <c r="AF17" s="63"/>
      <c r="AG17" s="63"/>
      <c r="AH17" s="63"/>
      <c r="AI17" s="63"/>
      <c r="AJ17" s="36">
        <f t="shared" si="0"/>
        <v>29.2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>
        <f>IF(COUNTIF(E17:AI17,"&gt;0")&gt;=15,AVERAGE(E17:AI17),"")</f>
        <v>31.925000000000001</v>
      </c>
      <c r="AP17" s="23">
        <f>IF(AN17&gt;0,IFERROR(AO17-AN17,""),"")</f>
        <v>0.49066984858459151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>
        <v>29</v>
      </c>
      <c r="P18" s="63">
        <v>25.1</v>
      </c>
      <c r="Q18" s="63">
        <v>23.9</v>
      </c>
      <c r="R18" s="63">
        <v>28.4</v>
      </c>
      <c r="S18" s="63">
        <v>29.9</v>
      </c>
      <c r="T18" s="63">
        <v>27.8</v>
      </c>
      <c r="U18" s="63">
        <v>27.8</v>
      </c>
      <c r="V18" s="63">
        <v>24.1</v>
      </c>
      <c r="W18" s="63">
        <v>28.6</v>
      </c>
      <c r="X18" s="63">
        <v>29.1</v>
      </c>
      <c r="Y18" s="63">
        <v>25.6</v>
      </c>
      <c r="Z18" s="63">
        <v>28.6</v>
      </c>
      <c r="AA18" s="63">
        <v>30.2</v>
      </c>
      <c r="AB18" s="63">
        <v>27.4</v>
      </c>
      <c r="AC18" s="63"/>
      <c r="AD18" s="63"/>
      <c r="AE18" s="63"/>
      <c r="AF18" s="63"/>
      <c r="AG18" s="63"/>
      <c r="AH18" s="63"/>
      <c r="AI18" s="63"/>
      <c r="AJ18" s="36">
        <f t="shared" si="0"/>
        <v>27.4</v>
      </c>
      <c r="AK18" s="21">
        <f t="shared" si="1"/>
        <v>30.2</v>
      </c>
      <c r="AL18" s="22">
        <v>32.4</v>
      </c>
      <c r="AM18" s="23">
        <f t="shared" si="2"/>
        <v>-2.1999999999999993</v>
      </c>
      <c r="AN18" s="23">
        <v>25.64850703060381</v>
      </c>
      <c r="AO18" s="23">
        <f t="shared" ref="AO18:AO33" si="5">IF(COUNTIF(E18:AI18,"&gt;0")&gt;=15,AVERAGE(E18:AI18),"")</f>
        <v>27.63333333333334</v>
      </c>
      <c r="AP18" s="23">
        <f t="shared" si="4"/>
        <v>1.9848263027295303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>
        <v>35.1</v>
      </c>
      <c r="P19" s="63">
        <v>32.4</v>
      </c>
      <c r="Q19" s="63">
        <v>29.9</v>
      </c>
      <c r="R19" s="63">
        <v>34.200000000000003</v>
      </c>
      <c r="S19" s="63">
        <v>36</v>
      </c>
      <c r="T19" s="63">
        <v>37</v>
      </c>
      <c r="U19" s="63">
        <v>37</v>
      </c>
      <c r="V19" s="63">
        <v>35.4</v>
      </c>
      <c r="W19" s="63">
        <v>38.1</v>
      </c>
      <c r="X19" s="63">
        <v>37.5</v>
      </c>
      <c r="Y19" s="63">
        <v>33.6</v>
      </c>
      <c r="Z19" s="63">
        <v>37</v>
      </c>
      <c r="AA19" s="63">
        <v>37.700000000000003</v>
      </c>
      <c r="AB19" s="63">
        <v>33.4</v>
      </c>
      <c r="AC19" s="63"/>
      <c r="AD19" s="63"/>
      <c r="AE19" s="63"/>
      <c r="AF19" s="63"/>
      <c r="AG19" s="63"/>
      <c r="AH19" s="63"/>
      <c r="AI19" s="63"/>
      <c r="AJ19" s="36">
        <f t="shared" si="0"/>
        <v>33.4</v>
      </c>
      <c r="AK19" s="21">
        <f t="shared" si="1"/>
        <v>38.1</v>
      </c>
      <c r="AL19" s="22">
        <v>38.200000000000003</v>
      </c>
      <c r="AM19" s="23">
        <f t="shared" si="2"/>
        <v>-0.10000000000000142</v>
      </c>
      <c r="AN19" s="23">
        <v>33.015015853322303</v>
      </c>
      <c r="AO19" s="23">
        <f t="shared" si="5"/>
        <v>35.358333333333327</v>
      </c>
      <c r="AP19" s="23">
        <f t="shared" si="4"/>
        <v>2.3433174800110237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>
        <v>28.8</v>
      </c>
      <c r="P20" s="63">
        <v>22.6</v>
      </c>
      <c r="Q20" s="63">
        <v>23.4</v>
      </c>
      <c r="R20" s="63">
        <v>30.4</v>
      </c>
      <c r="S20" s="63">
        <v>32.9</v>
      </c>
      <c r="T20" s="63">
        <v>25.5</v>
      </c>
      <c r="U20" s="63">
        <v>30</v>
      </c>
      <c r="V20" s="63">
        <v>28.7</v>
      </c>
      <c r="W20" s="63">
        <v>25.1</v>
      </c>
      <c r="X20" s="63">
        <v>29.2</v>
      </c>
      <c r="Y20" s="63">
        <v>23.9</v>
      </c>
      <c r="Z20" s="63">
        <v>31.4</v>
      </c>
      <c r="AA20" s="63">
        <v>30.8</v>
      </c>
      <c r="AB20" s="63">
        <v>28.1</v>
      </c>
      <c r="AC20" s="63"/>
      <c r="AD20" s="63"/>
      <c r="AE20" s="63"/>
      <c r="AF20" s="63"/>
      <c r="AG20" s="63"/>
      <c r="AH20" s="63"/>
      <c r="AI20" s="63"/>
      <c r="AJ20" s="36">
        <f t="shared" si="0"/>
        <v>28.1</v>
      </c>
      <c r="AK20" s="21">
        <f t="shared" si="1"/>
        <v>32.9</v>
      </c>
      <c r="AL20" s="22">
        <v>31.9</v>
      </c>
      <c r="AM20" s="23">
        <f t="shared" si="2"/>
        <v>1</v>
      </c>
      <c r="AN20" s="23">
        <v>27.292235561863119</v>
      </c>
      <c r="AO20" s="23">
        <f t="shared" si="5"/>
        <v>28.379166666666666</v>
      </c>
      <c r="AP20" s="23">
        <f t="shared" si="4"/>
        <v>1.086931104803547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>
        <v>23.6</v>
      </c>
      <c r="P21" s="63">
        <v>18.600000000000001</v>
      </c>
      <c r="Q21" s="63">
        <v>19</v>
      </c>
      <c r="R21" s="63">
        <v>24.5</v>
      </c>
      <c r="S21" s="63">
        <v>26.6</v>
      </c>
      <c r="T21" s="63">
        <v>21.7</v>
      </c>
      <c r="U21" s="63">
        <v>23.8</v>
      </c>
      <c r="V21" s="63">
        <v>22.2</v>
      </c>
      <c r="W21" s="63">
        <v>20.6</v>
      </c>
      <c r="X21" s="63">
        <v>22.5</v>
      </c>
      <c r="Y21" s="63">
        <v>20.2</v>
      </c>
      <c r="Z21" s="63">
        <v>25.2</v>
      </c>
      <c r="AA21" s="63">
        <v>24.6</v>
      </c>
      <c r="AB21" s="63">
        <v>23.4</v>
      </c>
      <c r="AC21" s="63"/>
      <c r="AD21" s="63"/>
      <c r="AE21" s="63"/>
      <c r="AF21" s="63"/>
      <c r="AG21" s="63"/>
      <c r="AH21" s="63"/>
      <c r="AI21" s="63"/>
      <c r="AJ21" s="36">
        <f t="shared" si="0"/>
        <v>23.4</v>
      </c>
      <c r="AK21" s="21">
        <f t="shared" si="1"/>
        <v>26.6</v>
      </c>
      <c r="AL21" s="22">
        <v>25.6</v>
      </c>
      <c r="AM21" s="23">
        <f t="shared" si="2"/>
        <v>1</v>
      </c>
      <c r="AN21" s="23">
        <v>21.943225806451611</v>
      </c>
      <c r="AO21" s="23">
        <f t="shared" si="5"/>
        <v>23.170833333333334</v>
      </c>
      <c r="AP21" s="23">
        <f t="shared" si="4"/>
        <v>1.227607526881723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>
        <v>27.9</v>
      </c>
      <c r="P23" s="63">
        <v>24.8</v>
      </c>
      <c r="Q23" s="63">
        <v>25.2</v>
      </c>
      <c r="R23" s="63">
        <v>28.4</v>
      </c>
      <c r="S23" s="63">
        <v>30.4</v>
      </c>
      <c r="T23" s="63">
        <v>24.7</v>
      </c>
      <c r="U23" s="63">
        <v>27.6</v>
      </c>
      <c r="V23" s="63">
        <v>28.6</v>
      </c>
      <c r="W23" s="63">
        <v>24.8</v>
      </c>
      <c r="X23" s="63">
        <v>29.2</v>
      </c>
      <c r="Y23" s="63">
        <v>24</v>
      </c>
      <c r="Z23" s="63">
        <v>29.4</v>
      </c>
      <c r="AA23" s="63">
        <v>30.6</v>
      </c>
      <c r="AB23" s="63">
        <v>29.4</v>
      </c>
      <c r="AC23" s="63"/>
      <c r="AD23" s="63"/>
      <c r="AE23" s="63"/>
      <c r="AF23" s="63"/>
      <c r="AG23" s="63"/>
      <c r="AH23" s="63"/>
      <c r="AI23" s="63"/>
      <c r="AJ23" s="36">
        <f t="shared" si="0"/>
        <v>29.4</v>
      </c>
      <c r="AK23" s="21">
        <f t="shared" si="1"/>
        <v>30.6</v>
      </c>
      <c r="AL23" s="22">
        <v>31.3</v>
      </c>
      <c r="AM23" s="23">
        <f t="shared" si="2"/>
        <v>-0.69999999999999929</v>
      </c>
      <c r="AN23" s="23">
        <v>26.187468982630271</v>
      </c>
      <c r="AO23" s="23">
        <f t="shared" si="5"/>
        <v>27.770833333333332</v>
      </c>
      <c r="AP23" s="23">
        <f t="shared" si="4"/>
        <v>1.5833643507030608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>
        <v>27.8</v>
      </c>
      <c r="P24" s="63">
        <v>24.7</v>
      </c>
      <c r="Q24" s="63">
        <v>25.8</v>
      </c>
      <c r="R24" s="63">
        <v>28</v>
      </c>
      <c r="S24" s="63">
        <v>31.5</v>
      </c>
      <c r="T24" s="63">
        <v>28.1</v>
      </c>
      <c r="U24" s="63">
        <v>28.1</v>
      </c>
      <c r="V24" s="63">
        <v>29.3</v>
      </c>
      <c r="W24" s="63">
        <v>25.9</v>
      </c>
      <c r="X24" s="63">
        <v>29.9</v>
      </c>
      <c r="Y24" s="63">
        <v>24.7</v>
      </c>
      <c r="Z24" s="63">
        <v>29.1</v>
      </c>
      <c r="AA24" s="63">
        <v>30.1</v>
      </c>
      <c r="AB24" s="63">
        <v>28.9</v>
      </c>
      <c r="AC24" s="63"/>
      <c r="AD24" s="63"/>
      <c r="AE24" s="63"/>
      <c r="AF24" s="63"/>
      <c r="AG24" s="63"/>
      <c r="AH24" s="63"/>
      <c r="AI24" s="63"/>
      <c r="AJ24" s="36">
        <f t="shared" si="0"/>
        <v>28.9</v>
      </c>
      <c r="AK24" s="21">
        <f t="shared" si="1"/>
        <v>31.5</v>
      </c>
      <c r="AL24" s="22">
        <v>32.799999999999997</v>
      </c>
      <c r="AM24" s="23">
        <f t="shared" si="2"/>
        <v>-1.2999999999999972</v>
      </c>
      <c r="AN24" s="23">
        <v>27.362560803891451</v>
      </c>
      <c r="AO24" s="23">
        <f t="shared" si="5"/>
        <v>28.258333333333336</v>
      </c>
      <c r="AP24" s="23">
        <f t="shared" si="4"/>
        <v>0.89577252944188501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>
        <v>30.7</v>
      </c>
      <c r="P25" s="63">
        <v>26</v>
      </c>
      <c r="Q25" s="63">
        <v>27</v>
      </c>
      <c r="R25" s="63">
        <v>30.4</v>
      </c>
      <c r="S25" s="63">
        <v>32.799999999999997</v>
      </c>
      <c r="T25" s="63">
        <v>30.3</v>
      </c>
      <c r="U25" s="63">
        <v>32</v>
      </c>
      <c r="V25" s="63">
        <v>28.4</v>
      </c>
      <c r="W25" s="63">
        <v>30</v>
      </c>
      <c r="X25" s="63">
        <v>32</v>
      </c>
      <c r="Y25" s="63">
        <v>28.9</v>
      </c>
      <c r="Z25" s="63">
        <v>31.4</v>
      </c>
      <c r="AA25" s="63">
        <v>33.700000000000003</v>
      </c>
      <c r="AB25" s="63">
        <v>32</v>
      </c>
      <c r="AC25" s="63"/>
      <c r="AD25" s="63"/>
      <c r="AE25" s="63"/>
      <c r="AF25" s="63"/>
      <c r="AG25" s="63"/>
      <c r="AH25" s="63"/>
      <c r="AI25" s="63"/>
      <c r="AJ25" s="36">
        <f t="shared" si="0"/>
        <v>32</v>
      </c>
      <c r="AK25" s="21">
        <f t="shared" si="1"/>
        <v>33.700000000000003</v>
      </c>
      <c r="AL25" s="22">
        <v>36.5</v>
      </c>
      <c r="AM25" s="23">
        <f t="shared" si="2"/>
        <v>-2.7999999999999972</v>
      </c>
      <c r="AN25" s="23">
        <v>28.863902868824429</v>
      </c>
      <c r="AO25" s="23">
        <f t="shared" si="5"/>
        <v>30.170833333333334</v>
      </c>
      <c r="AP25" s="23">
        <f t="shared" si="4"/>
        <v>1.3069304645089055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>
        <v>20.3</v>
      </c>
      <c r="P26" s="63">
        <v>18</v>
      </c>
      <c r="Q26" s="63">
        <v>19.5</v>
      </c>
      <c r="R26" s="63">
        <v>22.4</v>
      </c>
      <c r="S26" s="63">
        <v>23.9</v>
      </c>
      <c r="T26" s="63">
        <v>21.6</v>
      </c>
      <c r="U26" s="63">
        <v>21.8</v>
      </c>
      <c r="V26" s="63">
        <v>20.100000000000001</v>
      </c>
      <c r="W26" s="63">
        <v>22.6</v>
      </c>
      <c r="X26" s="63">
        <v>22.3</v>
      </c>
      <c r="Y26" s="63">
        <v>19.8</v>
      </c>
      <c r="Z26" s="63">
        <v>23</v>
      </c>
      <c r="AA26" s="63">
        <v>22.7</v>
      </c>
      <c r="AB26" s="63">
        <v>19.8</v>
      </c>
      <c r="AC26" s="63"/>
      <c r="AD26" s="63"/>
      <c r="AE26" s="63"/>
      <c r="AF26" s="63"/>
      <c r="AG26" s="63"/>
      <c r="AH26" s="63"/>
      <c r="AI26" s="63"/>
      <c r="AJ26" s="36">
        <f t="shared" si="0"/>
        <v>19.8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>
        <f t="shared" si="5"/>
        <v>21.266666666666669</v>
      </c>
      <c r="AP26" s="23">
        <f t="shared" si="4"/>
        <v>1.8460324975564184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>
        <v>22.2</v>
      </c>
      <c r="P27" s="63">
        <v>21</v>
      </c>
      <c r="Q27" s="63">
        <v>22.2</v>
      </c>
      <c r="R27" s="63">
        <v>23.6</v>
      </c>
      <c r="S27" s="63">
        <v>23.6</v>
      </c>
      <c r="T27" s="63">
        <v>22.2</v>
      </c>
      <c r="U27" s="63">
        <v>23</v>
      </c>
      <c r="V27" s="63">
        <v>22</v>
      </c>
      <c r="W27" s="63">
        <v>22.2</v>
      </c>
      <c r="X27" s="63">
        <v>22.4</v>
      </c>
      <c r="Y27" s="63">
        <v>20.6</v>
      </c>
      <c r="Z27" s="63">
        <v>22.6</v>
      </c>
      <c r="AA27" s="63">
        <v>21.2</v>
      </c>
      <c r="AB27" s="63">
        <v>19.8</v>
      </c>
      <c r="AC27" s="63"/>
      <c r="AD27" s="63"/>
      <c r="AE27" s="63"/>
      <c r="AF27" s="63"/>
      <c r="AG27" s="63"/>
      <c r="AH27" s="63"/>
      <c r="AI27" s="63"/>
      <c r="AJ27" s="36">
        <f t="shared" si="0"/>
        <v>19.8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>
        <f t="shared" si="5"/>
        <v>22.033333333333331</v>
      </c>
      <c r="AP27" s="23">
        <f t="shared" si="4"/>
        <v>3.3786649909230526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>
        <v>30.1</v>
      </c>
      <c r="P28" s="63">
        <v>27.3</v>
      </c>
      <c r="Q28" s="63">
        <v>27.7</v>
      </c>
      <c r="R28" s="63">
        <v>31.3</v>
      </c>
      <c r="S28" s="63">
        <v>34</v>
      </c>
      <c r="T28" s="63">
        <v>29.9</v>
      </c>
      <c r="U28" s="63">
        <v>30.8</v>
      </c>
      <c r="V28" s="63">
        <v>31.2</v>
      </c>
      <c r="W28" s="63">
        <v>26.9</v>
      </c>
      <c r="X28" s="63">
        <v>31.3</v>
      </c>
      <c r="Y28" s="63">
        <v>27.6</v>
      </c>
      <c r="Z28" s="63">
        <v>30.2</v>
      </c>
      <c r="AA28" s="63">
        <v>32.299999999999997</v>
      </c>
      <c r="AB28" s="83">
        <v>32.200000000000003</v>
      </c>
      <c r="AC28" s="63"/>
      <c r="AD28" s="63"/>
      <c r="AE28" s="63"/>
      <c r="AF28" s="63"/>
      <c r="AG28" s="63"/>
      <c r="AH28" s="63"/>
      <c r="AI28" s="63"/>
      <c r="AJ28" s="36">
        <f t="shared" si="0"/>
        <v>32.200000000000003</v>
      </c>
      <c r="AK28" s="21">
        <f t="shared" si="1"/>
        <v>34</v>
      </c>
      <c r="AL28" s="22">
        <v>33.200000000000003</v>
      </c>
      <c r="AM28" s="23">
        <f t="shared" si="2"/>
        <v>0.79999999999999716</v>
      </c>
      <c r="AN28" s="23">
        <v>29.62065677977936</v>
      </c>
      <c r="AO28" s="23">
        <f t="shared" si="5"/>
        <v>30.604166666666671</v>
      </c>
      <c r="AP28" s="23">
        <f t="shared" si="4"/>
        <v>0.98350988688731178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>
        <v>36.200000000000003</v>
      </c>
      <c r="P30" s="63">
        <v>34.799999999999997</v>
      </c>
      <c r="Q30" s="63">
        <v>33.5</v>
      </c>
      <c r="R30" s="63">
        <v>35.799999999999997</v>
      </c>
      <c r="S30" s="63">
        <v>38.6</v>
      </c>
      <c r="T30" s="63">
        <v>36.4</v>
      </c>
      <c r="U30" s="63">
        <v>35.700000000000003</v>
      </c>
      <c r="V30" s="63">
        <v>37.200000000000003</v>
      </c>
      <c r="W30" s="63">
        <v>36.299999999999997</v>
      </c>
      <c r="X30" s="63">
        <v>38.5</v>
      </c>
      <c r="Y30" s="63">
        <v>33.700000000000003</v>
      </c>
      <c r="Z30" s="63">
        <v>37.299999999999997</v>
      </c>
      <c r="AA30" s="63">
        <v>38.200000000000003</v>
      </c>
      <c r="AB30" s="63">
        <v>35.4</v>
      </c>
      <c r="AC30" s="63"/>
      <c r="AD30" s="63"/>
      <c r="AE30" s="63"/>
      <c r="AF30" s="63"/>
      <c r="AG30" s="63"/>
      <c r="AH30" s="63"/>
      <c r="AI30" s="63"/>
      <c r="AJ30" s="36">
        <f t="shared" si="0"/>
        <v>35.4</v>
      </c>
      <c r="AK30" s="21">
        <f t="shared" si="1"/>
        <v>38.6</v>
      </c>
      <c r="AL30" s="22">
        <v>40</v>
      </c>
      <c r="AM30" s="23">
        <f t="shared" si="2"/>
        <v>-1.3999999999999986</v>
      </c>
      <c r="AN30" s="23">
        <v>33.398279569892473</v>
      </c>
      <c r="AO30" s="23">
        <f t="shared" si="5"/>
        <v>35.962499999999999</v>
      </c>
      <c r="AP30" s="23">
        <f t="shared" si="4"/>
        <v>2.5642204301075253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>
        <v>25.2</v>
      </c>
      <c r="P31" s="63">
        <v>22.6</v>
      </c>
      <c r="Q31" s="63">
        <v>23.2</v>
      </c>
      <c r="R31" s="63">
        <v>26.4</v>
      </c>
      <c r="S31" s="63">
        <v>30</v>
      </c>
      <c r="T31" s="63">
        <v>23.4</v>
      </c>
      <c r="U31" s="63">
        <v>26.2</v>
      </c>
      <c r="V31" s="63">
        <v>28.4</v>
      </c>
      <c r="W31" s="63">
        <v>26.4</v>
      </c>
      <c r="X31" s="63">
        <v>27.4</v>
      </c>
      <c r="Y31" s="63">
        <v>22.3</v>
      </c>
      <c r="Z31" s="63">
        <v>28.4</v>
      </c>
      <c r="AA31" s="63">
        <v>25.8</v>
      </c>
      <c r="AB31" s="63">
        <v>27</v>
      </c>
      <c r="AC31" s="63"/>
      <c r="AD31" s="63"/>
      <c r="AE31" s="63"/>
      <c r="AF31" s="63"/>
      <c r="AG31" s="63"/>
      <c r="AH31" s="63"/>
      <c r="AI31" s="63"/>
      <c r="AJ31" s="36">
        <f t="shared" si="0"/>
        <v>27</v>
      </c>
      <c r="AK31" s="21">
        <f t="shared" si="1"/>
        <v>30</v>
      </c>
      <c r="AL31" s="22">
        <v>31.3</v>
      </c>
      <c r="AM31" s="23">
        <f t="shared" si="2"/>
        <v>-1.3000000000000007</v>
      </c>
      <c r="AN31" s="23">
        <v>24.31999307872945</v>
      </c>
      <c r="AO31" s="23">
        <f t="shared" si="5"/>
        <v>25.949999999999992</v>
      </c>
      <c r="AP31" s="23">
        <f t="shared" si="4"/>
        <v>1.6300069212705424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>
        <v>19.8</v>
      </c>
      <c r="P32" s="63">
        <v>18.8</v>
      </c>
      <c r="Q32" s="63">
        <v>16</v>
      </c>
      <c r="R32" s="63">
        <v>19</v>
      </c>
      <c r="S32" s="63">
        <v>20.8</v>
      </c>
      <c r="T32" s="63">
        <v>17.2</v>
      </c>
      <c r="U32" s="63">
        <v>18.8</v>
      </c>
      <c r="V32" s="63">
        <v>21.8</v>
      </c>
      <c r="W32" s="63">
        <v>23.4</v>
      </c>
      <c r="X32" s="63">
        <v>21.6</v>
      </c>
      <c r="Y32" s="63">
        <v>19</v>
      </c>
      <c r="Z32" s="63">
        <v>22</v>
      </c>
      <c r="AA32" s="63">
        <v>18.600000000000001</v>
      </c>
      <c r="AB32" s="63">
        <v>21.4</v>
      </c>
      <c r="AC32" s="63"/>
      <c r="AD32" s="63"/>
      <c r="AE32" s="63"/>
      <c r="AF32" s="63"/>
      <c r="AG32" s="63"/>
      <c r="AH32" s="63"/>
      <c r="AI32" s="63"/>
      <c r="AJ32" s="36">
        <f t="shared" si="0"/>
        <v>21.4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>
        <f t="shared" si="5"/>
        <v>20.133333333333336</v>
      </c>
      <c r="AP32" s="23">
        <f t="shared" si="4"/>
        <v>2.2126592179706748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>
        <v>17</v>
      </c>
      <c r="P33" s="63">
        <v>17.600000000000001</v>
      </c>
      <c r="Q33" s="63">
        <v>18</v>
      </c>
      <c r="R33" s="63">
        <v>18.399999999999999</v>
      </c>
      <c r="S33" s="63">
        <v>18.2</v>
      </c>
      <c r="T33" s="63">
        <v>16.600000000000001</v>
      </c>
      <c r="U33" s="63">
        <v>16.399999999999999</v>
      </c>
      <c r="V33" s="63">
        <v>19.2</v>
      </c>
      <c r="W33" s="63">
        <v>20.399999999999999</v>
      </c>
      <c r="X33" s="63">
        <v>17.399999999999999</v>
      </c>
      <c r="Y33" s="63">
        <v>20</v>
      </c>
      <c r="Z33" s="63">
        <v>19.399999999999999</v>
      </c>
      <c r="AA33" s="63">
        <v>18.8</v>
      </c>
      <c r="AB33" s="63">
        <v>19.399999999999999</v>
      </c>
      <c r="AC33" s="63"/>
      <c r="AD33" s="63"/>
      <c r="AE33" s="63"/>
      <c r="AF33" s="63"/>
      <c r="AG33" s="63"/>
      <c r="AH33" s="63"/>
      <c r="AI33" s="63"/>
      <c r="AJ33" s="36">
        <f t="shared" si="0"/>
        <v>19.399999999999999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>
        <f t="shared" si="5"/>
        <v>18.374999999999996</v>
      </c>
      <c r="AP33" s="23">
        <f t="shared" si="4"/>
        <v>1.4794225384526776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>
        <v>30.2</v>
      </c>
      <c r="P35" s="63">
        <v>28.2</v>
      </c>
      <c r="Q35" s="63">
        <v>27.6</v>
      </c>
      <c r="R35" s="63">
        <v>33.799999999999997</v>
      </c>
      <c r="S35" s="63">
        <v>34.799999999999997</v>
      </c>
      <c r="T35" s="63">
        <v>25.8</v>
      </c>
      <c r="U35" s="63">
        <v>32.799999999999997</v>
      </c>
      <c r="V35" s="63">
        <v>32.6</v>
      </c>
      <c r="W35" s="63">
        <v>25.6</v>
      </c>
      <c r="X35" s="63">
        <v>32.6</v>
      </c>
      <c r="Y35" s="63">
        <v>26</v>
      </c>
      <c r="Z35" s="63">
        <v>33.6</v>
      </c>
      <c r="AA35" s="63">
        <v>31.6</v>
      </c>
      <c r="AB35" s="63">
        <v>31.2</v>
      </c>
      <c r="AC35" s="63"/>
      <c r="AD35" s="63"/>
      <c r="AE35" s="63"/>
      <c r="AF35" s="63"/>
      <c r="AG35" s="63"/>
      <c r="AH35" s="63"/>
      <c r="AI35" s="63"/>
      <c r="AJ35" s="36">
        <f t="shared" si="0"/>
        <v>31.2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>
        <f>IF(COUNTIF(E35:AI35,"&gt;0")&gt;=15,AVERAGE(E35:AI35),"")</f>
        <v>31.100000000000009</v>
      </c>
      <c r="AP35" s="23">
        <f t="shared" si="4"/>
        <v>0.54563180034010728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>
        <v>30.7</v>
      </c>
      <c r="P38" s="63">
        <v>32.9</v>
      </c>
      <c r="Q38" s="63">
        <v>33.4</v>
      </c>
      <c r="R38" s="63">
        <v>33.200000000000003</v>
      </c>
      <c r="S38" s="63">
        <v>35.9</v>
      </c>
      <c r="T38" s="63">
        <v>33.1</v>
      </c>
      <c r="U38" s="63">
        <v>34.6</v>
      </c>
      <c r="V38" s="63">
        <v>32.700000000000003</v>
      </c>
      <c r="W38" s="63">
        <v>35.1</v>
      </c>
      <c r="X38" s="63">
        <v>30.5</v>
      </c>
      <c r="Y38" s="63">
        <v>33.799999999999997</v>
      </c>
      <c r="Z38" s="63">
        <v>36.200000000000003</v>
      </c>
      <c r="AA38" s="63">
        <v>33.9</v>
      </c>
      <c r="AB38" s="63">
        <v>30.6</v>
      </c>
      <c r="AC38" s="63"/>
      <c r="AD38" s="63"/>
      <c r="AE38" s="63"/>
      <c r="AF38" s="63"/>
      <c r="AG38" s="63"/>
      <c r="AH38" s="63"/>
      <c r="AI38" s="63"/>
      <c r="AJ38" s="36">
        <f t="shared" si="0"/>
        <v>30.6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>
        <f>IF(COUNTIF(E38:AI38,"&gt;0")&gt;=15,AVERAGE(E38:AI38),"")</f>
        <v>33.324999999999996</v>
      </c>
      <c r="AP38" s="23">
        <f t="shared" si="4"/>
        <v>1.3880135335558066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>
        <v>33.799999999999997</v>
      </c>
      <c r="P39" s="63">
        <v>32.799999999999997</v>
      </c>
      <c r="Q39" s="63">
        <v>34.700000000000003</v>
      </c>
      <c r="R39" s="63">
        <v>35</v>
      </c>
      <c r="S39" s="63">
        <v>35.6</v>
      </c>
      <c r="T39" s="63">
        <v>35.9</v>
      </c>
      <c r="U39" s="63">
        <v>33.4</v>
      </c>
      <c r="V39" s="63">
        <v>34.4</v>
      </c>
      <c r="W39" s="63">
        <v>35.4</v>
      </c>
      <c r="X39" s="63">
        <v>28.2</v>
      </c>
      <c r="Y39" s="63">
        <v>33.4</v>
      </c>
      <c r="Z39" s="63">
        <v>34.799999999999997</v>
      </c>
      <c r="AA39" s="63">
        <v>35.6</v>
      </c>
      <c r="AB39" s="63">
        <v>33.4</v>
      </c>
      <c r="AC39" s="63"/>
      <c r="AD39" s="63"/>
      <c r="AE39" s="63"/>
      <c r="AF39" s="63"/>
      <c r="AG39" s="63"/>
      <c r="AH39" s="63"/>
      <c r="AI39" s="63"/>
      <c r="AJ39" s="36">
        <f t="shared" si="0"/>
        <v>33.4</v>
      </c>
      <c r="AK39" s="21">
        <f t="shared" si="1"/>
        <v>35.9</v>
      </c>
      <c r="AL39" s="22">
        <v>36.6</v>
      </c>
      <c r="AM39" s="23">
        <f t="shared" si="2"/>
        <v>-0.70000000000000284</v>
      </c>
      <c r="AN39" s="23">
        <v>33.422727598566297</v>
      </c>
      <c r="AO39" s="23">
        <f t="shared" ref="AO39:AO48" si="7">IF(COUNTIF(E39:AI39,"&gt;0")&gt;=15,AVERAGE(E39:AI39),"")</f>
        <v>34.187499999999993</v>
      </c>
      <c r="AP39" s="23">
        <f t="shared" si="4"/>
        <v>0.76477240143369585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>
        <v>31.7</v>
      </c>
      <c r="P40" s="63">
        <v>29.7</v>
      </c>
      <c r="Q40" s="63">
        <v>32.200000000000003</v>
      </c>
      <c r="R40" s="63">
        <v>32.4</v>
      </c>
      <c r="S40" s="63">
        <v>31.8</v>
      </c>
      <c r="T40" s="63">
        <v>32.299999999999997</v>
      </c>
      <c r="U40" s="63">
        <v>31.2</v>
      </c>
      <c r="V40" s="63">
        <v>32.4</v>
      </c>
      <c r="W40" s="63">
        <v>31.9</v>
      </c>
      <c r="X40" s="63">
        <v>30.6</v>
      </c>
      <c r="Y40" s="63">
        <v>27.6</v>
      </c>
      <c r="Z40" s="63">
        <v>32.799999999999997</v>
      </c>
      <c r="AA40" s="63">
        <v>33.1</v>
      </c>
      <c r="AB40" s="63">
        <v>29.7</v>
      </c>
      <c r="AC40" s="63"/>
      <c r="AD40" s="63"/>
      <c r="AE40" s="63"/>
      <c r="AF40" s="63"/>
      <c r="AG40" s="63"/>
      <c r="AH40" s="63"/>
      <c r="AI40" s="63"/>
      <c r="AJ40" s="36">
        <f t="shared" si="0"/>
        <v>29.7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>
        <f t="shared" si="7"/>
        <v>31.145833333333332</v>
      </c>
      <c r="AP40" s="23">
        <f t="shared" si="4"/>
        <v>0.26745698924731087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>
        <v>33.200000000000003</v>
      </c>
      <c r="R41" s="63">
        <v>33.6</v>
      </c>
      <c r="S41" s="63">
        <v>34.4</v>
      </c>
      <c r="T41" s="63">
        <v>33.4</v>
      </c>
      <c r="U41" s="63">
        <v>29.4</v>
      </c>
      <c r="V41" s="63">
        <v>31</v>
      </c>
      <c r="W41" s="63">
        <v>32.799999999999997</v>
      </c>
      <c r="X41" s="63">
        <v>31.6</v>
      </c>
      <c r="Y41" s="63"/>
      <c r="Z41" s="63">
        <v>33.6</v>
      </c>
      <c r="AA41" s="63">
        <v>32.799999999999997</v>
      </c>
      <c r="AB41" s="63">
        <v>32.799999999999997</v>
      </c>
      <c r="AC41" s="63"/>
      <c r="AD41" s="63"/>
      <c r="AE41" s="63"/>
      <c r="AF41" s="63"/>
      <c r="AG41" s="63"/>
      <c r="AH41" s="63"/>
      <c r="AI41" s="63"/>
      <c r="AJ41" s="36">
        <f t="shared" si="0"/>
        <v>32.799999999999997</v>
      </c>
      <c r="AK41" s="21">
        <f t="shared" si="1"/>
        <v>34.4</v>
      </c>
      <c r="AL41" s="22">
        <v>35.4</v>
      </c>
      <c r="AM41" s="23">
        <f t="shared" si="2"/>
        <v>-1</v>
      </c>
      <c r="AN41" s="23">
        <v>31.008190582128289</v>
      </c>
      <c r="AO41" s="23">
        <f t="shared" si="7"/>
        <v>32.266666666666666</v>
      </c>
      <c r="AP41" s="23">
        <f t="shared" si="4"/>
        <v>1.2584760845383762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>
        <v>31.4</v>
      </c>
      <c r="P43" s="63">
        <v>33.6</v>
      </c>
      <c r="Q43" s="63">
        <v>33</v>
      </c>
      <c r="R43" s="63">
        <v>32.4</v>
      </c>
      <c r="S43" s="63">
        <v>34.4</v>
      </c>
      <c r="T43" s="63">
        <v>33</v>
      </c>
      <c r="U43" s="63">
        <v>33.200000000000003</v>
      </c>
      <c r="V43" s="63">
        <v>32.6</v>
      </c>
      <c r="W43" s="63">
        <v>34.4</v>
      </c>
      <c r="X43" s="63">
        <v>27.6</v>
      </c>
      <c r="Y43" s="63">
        <v>33.200000000000003</v>
      </c>
      <c r="Z43" s="63">
        <v>33.4</v>
      </c>
      <c r="AA43" s="63">
        <v>33.6</v>
      </c>
      <c r="AB43" s="63">
        <v>33.4</v>
      </c>
      <c r="AC43" s="63"/>
      <c r="AD43" s="63"/>
      <c r="AE43" s="63"/>
      <c r="AF43" s="63"/>
      <c r="AG43" s="63"/>
      <c r="AH43" s="63"/>
      <c r="AI43" s="63"/>
      <c r="AJ43" s="36">
        <f t="shared" si="0"/>
        <v>33.4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>
        <f t="shared" si="7"/>
        <v>32.991304347826087</v>
      </c>
      <c r="AP43" s="23">
        <f t="shared" si="4"/>
        <v>0.73431167687314058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>
        <v>34</v>
      </c>
      <c r="P44" s="29">
        <v>31.3</v>
      </c>
      <c r="Q44" s="29">
        <v>32.4</v>
      </c>
      <c r="R44" s="29">
        <v>30.2</v>
      </c>
      <c r="S44" s="29">
        <v>33.1</v>
      </c>
      <c r="T44" s="29">
        <v>31.3</v>
      </c>
      <c r="U44" s="29">
        <v>33.1</v>
      </c>
      <c r="V44" s="29">
        <v>33.200000000000003</v>
      </c>
      <c r="W44" s="29">
        <v>30</v>
      </c>
      <c r="X44" s="29">
        <v>31.4</v>
      </c>
      <c r="Y44" s="29">
        <v>31.4</v>
      </c>
      <c r="Z44" s="29">
        <v>31.2</v>
      </c>
      <c r="AA44" s="29">
        <v>31.4</v>
      </c>
      <c r="AB44" s="29">
        <v>33.200000000000003</v>
      </c>
      <c r="AC44" s="29"/>
      <c r="AD44" s="29"/>
      <c r="AE44" s="63"/>
      <c r="AF44" s="63"/>
      <c r="AG44" s="63"/>
      <c r="AH44" s="63"/>
      <c r="AI44" s="63"/>
      <c r="AJ44" s="36">
        <f t="shared" si="0"/>
        <v>33.200000000000003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>
        <f t="shared" si="7"/>
        <v>31.875000000000004</v>
      </c>
      <c r="AP44" s="23">
        <f t="shared" si="4"/>
        <v>0.78831299915838215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>
        <v>34</v>
      </c>
      <c r="P45" s="63">
        <v>32</v>
      </c>
      <c r="Q45" s="63">
        <v>33.6</v>
      </c>
      <c r="R45" s="63">
        <v>33.4</v>
      </c>
      <c r="S45" s="63">
        <v>34</v>
      </c>
      <c r="T45" s="63">
        <v>33.799999999999997</v>
      </c>
      <c r="U45" s="63">
        <v>31.4</v>
      </c>
      <c r="V45" s="63">
        <v>33.4</v>
      </c>
      <c r="W45" s="63">
        <v>34.200000000000003</v>
      </c>
      <c r="X45" s="63">
        <v>33.200000000000003</v>
      </c>
      <c r="Y45" s="63">
        <v>32.6</v>
      </c>
      <c r="Z45" s="63">
        <v>33</v>
      </c>
      <c r="AA45" s="63">
        <v>33.4</v>
      </c>
      <c r="AB45" s="63">
        <v>32.4</v>
      </c>
      <c r="AC45" s="63"/>
      <c r="AD45" s="63"/>
      <c r="AE45" s="63"/>
      <c r="AF45" s="63"/>
      <c r="AG45" s="63"/>
      <c r="AH45" s="63"/>
      <c r="AI45" s="63"/>
      <c r="AJ45" s="36">
        <f t="shared" si="0"/>
        <v>32.4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>
        <f t="shared" si="7"/>
        <v>32.925000000000004</v>
      </c>
      <c r="AP45" s="23">
        <f t="shared" si="4"/>
        <v>1.329805229404414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>
        <v>34.1</v>
      </c>
      <c r="P48" s="63">
        <v>34.200000000000003</v>
      </c>
      <c r="Q48" s="63">
        <v>35.4</v>
      </c>
      <c r="R48" s="63">
        <v>33.799999999999997</v>
      </c>
      <c r="S48" s="63">
        <v>33.799999999999997</v>
      </c>
      <c r="T48" s="63">
        <v>35.200000000000003</v>
      </c>
      <c r="U48" s="63">
        <v>32.200000000000003</v>
      </c>
      <c r="V48" s="63">
        <v>34.6</v>
      </c>
      <c r="W48" s="63">
        <v>27.3</v>
      </c>
      <c r="X48" s="63">
        <v>32</v>
      </c>
      <c r="Y48" s="63">
        <v>31.6</v>
      </c>
      <c r="Z48" s="63">
        <v>26.2</v>
      </c>
      <c r="AA48" s="63">
        <v>31.4</v>
      </c>
      <c r="AB48" s="63">
        <v>34.299999999999997</v>
      </c>
      <c r="AC48" s="63"/>
      <c r="AD48" s="63"/>
      <c r="AE48" s="63"/>
      <c r="AF48" s="63"/>
      <c r="AG48" s="63"/>
      <c r="AH48" s="63"/>
      <c r="AI48" s="63"/>
      <c r="AJ48" s="36">
        <f t="shared" si="0"/>
        <v>34.299999999999997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>
        <f t="shared" si="7"/>
        <v>32.891666666666673</v>
      </c>
      <c r="AP48" s="23">
        <f t="shared" si="4"/>
        <v>0.8994774193548416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 Z17:AB33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X35:Y36 AA35:AB36 X38:Y42 AA38:AB42 X45:Y45 AA45:AB45 X46:AI46 X48:Y48 AA48:AB48 AA30:AB33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X45:Y45 AA45:AB45 X46:AI46 X48:Y48 AA48:AB48 AA30:AB33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 Z17:AB33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 Z17:AB33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2026-10-25T13:52:25Z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