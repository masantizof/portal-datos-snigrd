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0EA5FC6-52C7-4B4B-A6A4-B57F9AE9F120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<sst xmlns="http://schemas.openxmlformats.org/spreadsheetml/2006/main" count="603" uniqueCount="272">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</sst>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M4" activePane="bottomRight" state="frozen"/>
      <selection pane="topRight" activeCell="E1" sqref="E1"/>
      <selection pane="bottomLeft" activeCell="A4" sqref="A4"/>
      <selection pane="bottomRight" activeCell="Y48" sqref="Y48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>
        <v>29.3</v>
      </c>
      <c r="W5" s="63">
        <v>31.7</v>
      </c>
      <c r="X5" s="63">
        <v>32.1</v>
      </c>
      <c r="Y5" s="63">
        <v>32.5</v>
      </c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32.5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31.657142857142862</v>
      </c>
      <c r="AP5" s="23">
        <f>IF(AN5&gt;0,IFERROR(AO5-AN5,""),"")</f>
        <v>1.1411993877186717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>
        <v>30.2</v>
      </c>
      <c r="W6" s="63">
        <v>31.4</v>
      </c>
      <c r="X6" s="63">
        <v>31.6</v>
      </c>
      <c r="Y6" s="63">
        <v>31.9</v>
      </c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31.9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31.733333333333331</v>
      </c>
      <c r="AP6" s="23">
        <f t="shared" ref="AP6:AP48" si="4">IF(AN6&gt;0,IFERROR(AO6-AN6,""),"")</f>
        <v>0.68690902884452143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>
        <v>31.8</v>
      </c>
      <c r="W7" s="63">
        <v>35</v>
      </c>
      <c r="X7" s="63">
        <v>36.4</v>
      </c>
      <c r="Y7" s="63">
        <v>39.6</v>
      </c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39.6</v>
      </c>
      <c r="AK7" s="21">
        <f t="shared" si="1"/>
        <v>39.6</v>
      </c>
      <c r="AL7" s="22">
        <v>38.4</v>
      </c>
      <c r="AM7" s="23">
        <f t="shared" si="2"/>
        <v>1.2000000000000028</v>
      </c>
      <c r="AN7" s="23">
        <v>33.115285708400279</v>
      </c>
      <c r="AO7" s="23">
        <f t="shared" si="3"/>
        <v>35.390476190476193</v>
      </c>
      <c r="AP7" s="23">
        <f t="shared" si="4"/>
        <v>2.2751904820759137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>
        <v>33.200000000000003</v>
      </c>
      <c r="W8" s="63">
        <v>32.9</v>
      </c>
      <c r="X8" s="63">
        <v>33.299999999999997</v>
      </c>
      <c r="Y8" s="63">
        <v>34.6</v>
      </c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34.6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33.557142857142857</v>
      </c>
      <c r="AP8" s="23">
        <f t="shared" si="4"/>
        <v>1.3133369680962801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>
        <v>33</v>
      </c>
      <c r="W9" s="63">
        <v>34.799999999999997</v>
      </c>
      <c r="X9" s="63">
        <v>37.200000000000003</v>
      </c>
      <c r="Y9" s="63">
        <v>38</v>
      </c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38</v>
      </c>
      <c r="AK9" s="21">
        <f t="shared" si="1"/>
        <v>38</v>
      </c>
      <c r="AL9" s="22">
        <v>38.700000000000003</v>
      </c>
      <c r="AM9" s="23">
        <f t="shared" si="2"/>
        <v>-0.70000000000000284</v>
      </c>
      <c r="AN9" s="23">
        <v>33.507160697070823</v>
      </c>
      <c r="AO9" s="23">
        <f t="shared" si="3"/>
        <v>34.990476190476187</v>
      </c>
      <c r="AP9" s="23">
        <f t="shared" si="4"/>
        <v>1.4833154934053638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>
        <v>35.5</v>
      </c>
      <c r="W10" s="63">
        <v>37.799999999999997</v>
      </c>
      <c r="X10" s="63">
        <v>38.299999999999997</v>
      </c>
      <c r="Y10" s="63">
        <v>37</v>
      </c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36.914285714285711</v>
      </c>
      <c r="AP10" s="23">
        <f t="shared" si="4"/>
        <v>1.8763386812311538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>
        <v>38.200000000000003</v>
      </c>
      <c r="W11" s="63">
        <v>38.4</v>
      </c>
      <c r="X11" s="63">
        <v>39.4</v>
      </c>
      <c r="Y11" s="63">
        <v>39.5</v>
      </c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39.5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39.314285714285717</v>
      </c>
      <c r="AP11" s="23">
        <f t="shared" si="4"/>
        <v>4.1348233486943187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>
        <v>30.6</v>
      </c>
      <c r="W12" s="63">
        <v>35.200000000000003</v>
      </c>
      <c r="X12" s="63">
        <v>36.4</v>
      </c>
      <c r="Y12" s="63">
        <v>36</v>
      </c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36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34.704761904761916</v>
      </c>
      <c r="AP12" s="23">
        <f t="shared" si="4"/>
        <v>2.5728475327839888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>
        <v>32.200000000000003</v>
      </c>
      <c r="W13" s="63">
        <v>36</v>
      </c>
      <c r="X13" s="63">
        <v>37</v>
      </c>
      <c r="Y13" s="63">
        <v>36.6</v>
      </c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36.6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35.409523809523819</v>
      </c>
      <c r="AP13" s="23">
        <f t="shared" si="4"/>
        <v>2.4857654889913121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>
        <v>32.4</v>
      </c>
      <c r="W14" s="63">
        <v>36</v>
      </c>
      <c r="X14" s="63">
        <v>35.200000000000003</v>
      </c>
      <c r="Y14" s="63">
        <v>36.6</v>
      </c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36.6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34.638095238095239</v>
      </c>
      <c r="AP14" s="23">
        <f t="shared" si="4"/>
        <v>1.573010957220518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>
        <v>31.3</v>
      </c>
      <c r="W15" s="63">
        <v>34.700000000000003</v>
      </c>
      <c r="X15" s="63">
        <v>33.9</v>
      </c>
      <c r="Y15" s="63">
        <v>34.4</v>
      </c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34.4</v>
      </c>
      <c r="AK15" s="21">
        <f t="shared" si="1"/>
        <v>34.700000000000003</v>
      </c>
      <c r="AL15" s="22">
        <v>35</v>
      </c>
      <c r="AM15" s="23">
        <f t="shared" si="2"/>
        <v>-0.29999999999999716</v>
      </c>
      <c r="AN15" s="23">
        <v>31.919167946748601</v>
      </c>
      <c r="AO15" s="23">
        <f t="shared" si="3"/>
        <v>32.166666666666664</v>
      </c>
      <c r="AP15" s="23">
        <f t="shared" si="4"/>
        <v>0.24749871991806316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>
        <v>32.200000000000003</v>
      </c>
      <c r="W17" s="63">
        <v>34.4</v>
      </c>
      <c r="X17" s="63">
        <v>36</v>
      </c>
      <c r="Y17" s="63">
        <v>34.6</v>
      </c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34.6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35.519047619047626</v>
      </c>
      <c r="AP17" s="23">
        <f>IF(AN17&gt;0,IFERROR(AO17-AN17,""),"")</f>
        <v>2.8156623761852089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>
        <v>25.6</v>
      </c>
      <c r="W18" s="63">
        <v>29</v>
      </c>
      <c r="X18" s="63">
        <v>30.3</v>
      </c>
      <c r="Y18" s="63">
        <v>27.6</v>
      </c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27.6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29.071428571428573</v>
      </c>
      <c r="AP18" s="23">
        <f t="shared" si="4"/>
        <v>2.7277830118905442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>
        <v>35.1</v>
      </c>
      <c r="W19" s="63">
        <v>37.200000000000003</v>
      </c>
      <c r="X19" s="63">
        <v>35.9</v>
      </c>
      <c r="Y19" s="63">
        <v>37.6</v>
      </c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37.6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35.75238095238096</v>
      </c>
      <c r="AP19" s="23">
        <f t="shared" si="4"/>
        <v>1.5449745007680633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>
        <v>27.9</v>
      </c>
      <c r="W20" s="63">
        <v>32.299999999999997</v>
      </c>
      <c r="X20" s="63">
        <v>31.8</v>
      </c>
      <c r="Y20" s="63">
        <v>31.5</v>
      </c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31.5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30.961904761904758</v>
      </c>
      <c r="AP20" s="23">
        <f t="shared" si="4"/>
        <v>2.2622055811571897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>
        <v>23</v>
      </c>
      <c r="W21" s="63">
        <v>25</v>
      </c>
      <c r="X21" s="63">
        <v>25.4</v>
      </c>
      <c r="Y21" s="63">
        <v>24.7</v>
      </c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24.7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24.538095238095234</v>
      </c>
      <c r="AP21" s="23">
        <f t="shared" si="4"/>
        <v>1.8357478022469742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>
        <v>28.6</v>
      </c>
      <c r="W23" s="63">
        <v>29.4</v>
      </c>
      <c r="X23" s="63">
        <v>31.2</v>
      </c>
      <c r="Y23" s="63">
        <v>30.4</v>
      </c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30.4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29.571428571428573</v>
      </c>
      <c r="AP23" s="23">
        <f t="shared" si="4"/>
        <v>2.2633253456221212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>
        <v>29.9</v>
      </c>
      <c r="W24" s="63">
        <v>30.7</v>
      </c>
      <c r="X24" s="63">
        <v>33.5</v>
      </c>
      <c r="Y24" s="63">
        <v>32.1</v>
      </c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32.1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30.852380952380958</v>
      </c>
      <c r="AP24" s="23">
        <f t="shared" si="4"/>
        <v>2.0303976787847873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>
        <v>31.4</v>
      </c>
      <c r="W25" s="63">
        <v>34.9</v>
      </c>
      <c r="X25" s="63">
        <v>35.200000000000003</v>
      </c>
      <c r="Y25" s="63">
        <v>34.4</v>
      </c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34.4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34.185714285714283</v>
      </c>
      <c r="AP25" s="23">
        <f t="shared" si="4"/>
        <v>2.6271790346963115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>
        <v>19.5</v>
      </c>
      <c r="W26" s="63">
        <v>21.4</v>
      </c>
      <c r="X26" s="63">
        <v>20.9</v>
      </c>
      <c r="Y26" s="63">
        <v>20.399999999999999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20.399999999999999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20.028571428571425</v>
      </c>
      <c r="AP26" s="23">
        <f t="shared" si="4"/>
        <v>1.2556312671384937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>
        <v>22</v>
      </c>
      <c r="W27" s="63">
        <v>21.6</v>
      </c>
      <c r="X27" s="63">
        <v>21</v>
      </c>
      <c r="Y27" s="63">
        <v>21.4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21.4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20.766666666666669</v>
      </c>
      <c r="AP27" s="23">
        <f t="shared" si="4"/>
        <v>3.6793479965152187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>
        <v>31.8</v>
      </c>
      <c r="W28" s="63">
        <v>33.1</v>
      </c>
      <c r="X28" s="63">
        <v>34.700000000000003</v>
      </c>
      <c r="Y28" s="63">
        <v>33.9</v>
      </c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33.9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32.452380952380949</v>
      </c>
      <c r="AP28" s="23">
        <f t="shared" si="4"/>
        <v>1.3344608326537788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>
        <v>37</v>
      </c>
      <c r="W30" s="63">
        <v>37.200000000000003</v>
      </c>
      <c r="X30" s="63">
        <v>36.4</v>
      </c>
      <c r="Y30" s="63">
        <v>36.799999999999997</v>
      </c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36.799999999999997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36.057142857142857</v>
      </c>
      <c r="AP30" s="23">
        <f t="shared" si="4"/>
        <v>1.4381105990783496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>
        <v>27.8</v>
      </c>
      <c r="W31" s="63">
        <v>28.6</v>
      </c>
      <c r="X31" s="63">
        <v>27.5</v>
      </c>
      <c r="Y31" s="63">
        <v>28.3</v>
      </c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28.3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27.185714285714283</v>
      </c>
      <c r="AP31" s="23">
        <f t="shared" si="4"/>
        <v>1.0383846280447635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>
        <v>17</v>
      </c>
      <c r="W32" s="63">
        <v>17.2</v>
      </c>
      <c r="X32" s="63">
        <v>15</v>
      </c>
      <c r="Y32" s="63">
        <v>18.2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18.2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16.961904761904758</v>
      </c>
      <c r="AP32" s="23">
        <f t="shared" si="4"/>
        <v>0.52376935375970746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>
        <v>15.2</v>
      </c>
      <c r="W33" s="63">
        <v>15.6</v>
      </c>
      <c r="X33" s="63">
        <v>14.2</v>
      </c>
      <c r="Y33" s="63">
        <v>15.4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15.4</v>
      </c>
      <c r="AK33" s="21">
        <f t="shared" si="1"/>
        <v>17.600000000000001</v>
      </c>
      <c r="AL33" s="22">
        <v>20.6</v>
      </c>
      <c r="AM33" s="23">
        <f t="shared" si="2"/>
        <v>-3</v>
      </c>
      <c r="AN33" s="23">
        <v>14.98521690767519</v>
      </c>
      <c r="AO33" s="23">
        <f t="shared" si="5"/>
        <v>15.419047619047618</v>
      </c>
      <c r="AP33" s="23">
        <f t="shared" si="4"/>
        <v>0.43383071137242801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>
        <v>33</v>
      </c>
      <c r="W35" s="63">
        <v>33.700000000000003</v>
      </c>
      <c r="X35" s="63">
        <v>32.799999999999997</v>
      </c>
      <c r="Y35" s="63">
        <v>33.4</v>
      </c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33.4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32.266666666666666</v>
      </c>
      <c r="AP35" s="23">
        <f t="shared" si="4"/>
        <v>1.0369670003707867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>
        <v>31.9</v>
      </c>
      <c r="W38" s="63">
        <v>33.9</v>
      </c>
      <c r="X38" s="63">
        <v>33</v>
      </c>
      <c r="Y38" s="63">
        <v>32.299999999999997</v>
      </c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32.299999999999997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32.29999999999999</v>
      </c>
      <c r="AP38" s="23">
        <f t="shared" si="4"/>
        <v>1.4996415770609204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>
        <v>32.6</v>
      </c>
      <c r="W39" s="63">
        <v>33</v>
      </c>
      <c r="X39" s="63">
        <v>33.6</v>
      </c>
      <c r="Y39" s="63">
        <v>29.4</v>
      </c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29.4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32.033333333333339</v>
      </c>
      <c r="AP39" s="23">
        <f t="shared" si="4"/>
        <v>0.51969595847237926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>
        <v>33.200000000000003</v>
      </c>
      <c r="W40" s="63">
        <v>32.6</v>
      </c>
      <c r="X40" s="63">
        <v>32.6</v>
      </c>
      <c r="Y40" s="63">
        <v>30.4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30.4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30.866666666666664</v>
      </c>
      <c r="AP40" s="23">
        <f t="shared" si="4"/>
        <v>1.0591027067111654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>
        <v>33.200000000000003</v>
      </c>
      <c r="X41" s="63">
        <v>32.799999999999997</v>
      </c>
      <c r="Y41" s="63">
        <v>31.4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31.4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32.070000000000007</v>
      </c>
      <c r="AP41" s="23">
        <f t="shared" si="4"/>
        <v>2.2186260454002387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>
        <v>32.799999999999997</v>
      </c>
      <c r="W43" s="63">
        <v>32.200000000000003</v>
      </c>
      <c r="X43" s="63">
        <v>33</v>
      </c>
      <c r="Y43" s="63">
        <v>30.4</v>
      </c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30.4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31.790476190476188</v>
      </c>
      <c r="AP43" s="23">
        <f t="shared" si="4"/>
        <v>0.7684018201685987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>
        <v>33.299999999999997</v>
      </c>
      <c r="W44" s="29">
        <v>31</v>
      </c>
      <c r="X44" s="29">
        <v>32.299999999999997</v>
      </c>
      <c r="Y44" s="29">
        <v>31</v>
      </c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</v>
      </c>
      <c r="AK44" s="21">
        <f t="shared" si="1"/>
        <v>33.299999999999997</v>
      </c>
      <c r="AL44" s="22">
        <v>34.4</v>
      </c>
      <c r="AM44" s="23">
        <f t="shared" si="2"/>
        <v>-1.1000000000000014</v>
      </c>
      <c r="AN44" s="23">
        <v>30.14398006331821</v>
      </c>
      <c r="AO44" s="23">
        <f t="shared" si="7"/>
        <v>31.395238095238089</v>
      </c>
      <c r="AP44" s="23">
        <f t="shared" si="4"/>
        <v>1.2512580319198783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>
        <v>33</v>
      </c>
      <c r="W45" s="63">
        <v>32.4</v>
      </c>
      <c r="X45" s="63">
        <v>33.200000000000003</v>
      </c>
      <c r="Y45" s="63">
        <v>28.2</v>
      </c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28.2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31.666666666666661</v>
      </c>
      <c r="AP45" s="23">
        <f t="shared" si="4"/>
        <v>1.2460895271507617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>
        <v>30.8</v>
      </c>
      <c r="W48" s="63">
        <v>31</v>
      </c>
      <c r="X48" s="63">
        <v>33.6</v>
      </c>
      <c r="Y48" s="63">
        <v>29.6</v>
      </c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29.6</v>
      </c>
      <c r="AK48" s="21">
        <f t="shared" si="1"/>
        <v>33.6</v>
      </c>
      <c r="AL48" s="22">
        <v>35.700000000000003</v>
      </c>
      <c r="AM48" s="23">
        <f t="shared" si="2"/>
        <v>-2.1000000000000014</v>
      </c>
      <c r="AN48" s="23">
        <v>31.390004135649299</v>
      </c>
      <c r="AO48" s="23">
        <f t="shared" si="7"/>
        <v>31.81904761904762</v>
      </c>
      <c r="AP48" s="23">
        <f t="shared" si="4"/>
        <v>0.42904348339832055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autoFilter ref="AM1:AM192" xr:uid="{00000000-0001-0000-0000-000000000000}"/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2026-08-22T13:33:24Z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