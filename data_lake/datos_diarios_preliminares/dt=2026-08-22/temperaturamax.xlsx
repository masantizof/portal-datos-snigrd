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929B662-FC74-41ED-86BF-32186016E1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Temperatura!$C$1:$C$288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W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W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 s="1"/>
  <c r="AW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Q216" i="1"/>
  <c r="AP216" i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W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W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70" i="1" l="1"/>
  <c r="AS186" i="1"/>
  <c r="AS149" i="1"/>
  <c r="AW17" i="1"/>
  <c r="AS74" i="1"/>
  <c r="AW227" i="1"/>
  <c r="AW20" i="1"/>
  <c r="AS113" i="1"/>
  <c r="AW165" i="1"/>
  <c r="AS217" i="1"/>
  <c r="AW256" i="1"/>
  <c r="AW259" i="1"/>
  <c r="AS83" i="1"/>
  <c r="AS133" i="1"/>
  <c r="AS171" i="1"/>
  <c r="AS286" i="1"/>
  <c r="AS84" i="1"/>
  <c r="AW235" i="1"/>
  <c r="AW121" i="1"/>
  <c r="AW134" i="1"/>
  <c r="AS135" i="1"/>
  <c r="AW147" i="1"/>
  <c r="AS35" i="1"/>
  <c r="AS86" i="1"/>
  <c r="AW263" i="1"/>
  <c r="AS36" i="1"/>
  <c r="AS137" i="1"/>
  <c r="AS62" i="1"/>
  <c r="AS188" i="1"/>
  <c r="AS88" i="1"/>
  <c r="AS138" i="1"/>
  <c r="AS176" i="1"/>
  <c r="AW138" i="1"/>
  <c r="AS76" i="1"/>
  <c r="AS45" i="1"/>
  <c r="AS38" i="1"/>
  <c r="AS114" i="1"/>
  <c r="AS39" i="1"/>
  <c r="AS103" i="1"/>
  <c r="AW267" i="1"/>
  <c r="AS91" i="1"/>
  <c r="AW103" i="1"/>
  <c r="AW153" i="1"/>
  <c r="AW280" i="1"/>
  <c r="AW78" i="1"/>
  <c r="AS192" i="1"/>
  <c r="AW167" i="1"/>
  <c r="AS20" i="1"/>
  <c r="AS67" i="1"/>
  <c r="AW54" i="1"/>
  <c r="AS80" i="1"/>
  <c r="AW193" i="1"/>
  <c r="AS42" i="1"/>
  <c r="AW169" i="1"/>
  <c r="AW144" i="1"/>
  <c r="AW55" i="1"/>
  <c r="AS82" i="1"/>
  <c r="AS285" i="1"/>
  <c r="AS162" i="1"/>
  <c r="AS236" i="1"/>
  <c r="AS199" i="1"/>
  <c r="AW248" i="1"/>
  <c r="AS163" i="1"/>
  <c r="AS175" i="1"/>
  <c r="AS13" i="1"/>
  <c r="AW26" i="1"/>
  <c r="AW150" i="1"/>
  <c r="AS262" i="1"/>
  <c r="AS225" i="1"/>
  <c r="AW249" i="1"/>
  <c r="AW274" i="1"/>
  <c r="AW139" i="1"/>
  <c r="AS263" i="1"/>
  <c r="AS275" i="1"/>
  <c r="AS115" i="1"/>
  <c r="AS201" i="1"/>
  <c r="AW115" i="1"/>
  <c r="AW140" i="1"/>
  <c r="AS214" i="1"/>
  <c r="AS251" i="1"/>
  <c r="AW177" i="1"/>
  <c r="AS153" i="1"/>
  <c r="AS202" i="1"/>
  <c r="AW214" i="1"/>
  <c r="AS30" i="1"/>
  <c r="AW42" i="1"/>
  <c r="AW116" i="1"/>
  <c r="AS215" i="1"/>
  <c r="AS252" i="1"/>
  <c r="AS117" i="1"/>
  <c r="AW215" i="1"/>
  <c r="AS240" i="1"/>
  <c r="AS277" i="1"/>
  <c r="AS31" i="1"/>
  <c r="AW68" i="1"/>
  <c r="AW105" i="1"/>
  <c r="AW203" i="1"/>
  <c r="AW141" i="1"/>
  <c r="AS6" i="1"/>
  <c r="AS106" i="1"/>
  <c r="AS19" i="1"/>
  <c r="AS168" i="1"/>
  <c r="AS229" i="1"/>
  <c r="AS54" i="1"/>
  <c r="AS7" i="1"/>
  <c r="AW19" i="1"/>
  <c r="AW94" i="1"/>
  <c r="AS107" i="1"/>
  <c r="AW229" i="1"/>
  <c r="AS242" i="1"/>
  <c r="AS267" i="1"/>
  <c r="AW39" i="1"/>
  <c r="AS71" i="1"/>
  <c r="AS108" i="1"/>
  <c r="AW76" i="1"/>
  <c r="AS96" i="1"/>
  <c r="AS145" i="1"/>
  <c r="AS170" i="1"/>
  <c r="AS194" i="1"/>
  <c r="AW145" i="1"/>
  <c r="AW231" i="1"/>
  <c r="AW109" i="1"/>
  <c r="AW158" i="1"/>
  <c r="AS195" i="1"/>
  <c r="AS220" i="1"/>
  <c r="AS14" i="1"/>
  <c r="AS10" i="1"/>
  <c r="AS48" i="1"/>
  <c r="AS98" i="1"/>
  <c r="AW183" i="1"/>
  <c r="AS246" i="1"/>
  <c r="AS283" i="1"/>
  <c r="AW33" i="1"/>
  <c r="AS60" i="1"/>
  <c r="AS24" i="1"/>
  <c r="AW246" i="1"/>
  <c r="AS99" i="1"/>
  <c r="AW60" i="1"/>
  <c r="AS12" i="1"/>
  <c r="AS161" i="1"/>
  <c r="AW7" i="1"/>
  <c r="AW23" i="1"/>
  <c r="AS25" i="1"/>
  <c r="AW173" i="1"/>
  <c r="AW197" i="1"/>
  <c r="AS210" i="1"/>
  <c r="AW75" i="1"/>
  <c r="AW247" i="1"/>
  <c r="AS70" i="1"/>
  <c r="AW21" i="1"/>
  <c r="AS34" i="1"/>
  <c r="AW46" i="1"/>
  <c r="AW70" i="1"/>
  <c r="AW106" i="1"/>
  <c r="AS130" i="1"/>
  <c r="AW188" i="1"/>
  <c r="AS212" i="1"/>
  <c r="AS247" i="1"/>
  <c r="AS177" i="1"/>
  <c r="AS282" i="1"/>
  <c r="AW82" i="1"/>
  <c r="AS189" i="1"/>
  <c r="AW212" i="1"/>
  <c r="AW282" i="1"/>
  <c r="AW119" i="1"/>
  <c r="AW142" i="1"/>
  <c r="AW154" i="1"/>
  <c r="AW224" i="1"/>
  <c r="AW236" i="1"/>
  <c r="AW83" i="1"/>
  <c r="AS120" i="1"/>
  <c r="AS143" i="1"/>
  <c r="AS167" i="1"/>
  <c r="AS178" i="1"/>
  <c r="AS190" i="1"/>
  <c r="AS260" i="1"/>
  <c r="AW283" i="1"/>
  <c r="AW143" i="1"/>
  <c r="AS119" i="1"/>
  <c r="AW48" i="1"/>
  <c r="AW108" i="1"/>
  <c r="AW155" i="1"/>
  <c r="AW190" i="1"/>
  <c r="AW202" i="1"/>
  <c r="AS237" i="1"/>
  <c r="AS249" i="1"/>
  <c r="AW260" i="1"/>
  <c r="AS272" i="1"/>
  <c r="AS47" i="1"/>
  <c r="AW59" i="1"/>
  <c r="AW284" i="1"/>
  <c r="AW24" i="1"/>
  <c r="AS37" i="1"/>
  <c r="AS97" i="1"/>
  <c r="AS109" i="1"/>
  <c r="AW179" i="1"/>
  <c r="AS273" i="1"/>
  <c r="AW12" i="1"/>
  <c r="AS157" i="1"/>
  <c r="AW285" i="1"/>
  <c r="AW122" i="1"/>
  <c r="AW50" i="1"/>
  <c r="AW62" i="1"/>
  <c r="AS110" i="1"/>
  <c r="AS274" i="1"/>
  <c r="AW85" i="1"/>
  <c r="AS158" i="1"/>
  <c r="AS181" i="1"/>
  <c r="AS228" i="1"/>
  <c r="AW251" i="1"/>
  <c r="AW63" i="1"/>
  <c r="AS87" i="1"/>
  <c r="AW123" i="1"/>
  <c r="AS124" i="1"/>
  <c r="AW135" i="1"/>
  <c r="AS182" i="1"/>
  <c r="AS264" i="1"/>
  <c r="AW99" i="1"/>
  <c r="AW124" i="1"/>
  <c r="AW159" i="1"/>
  <c r="AW252" i="1"/>
  <c r="AW275" i="1"/>
  <c r="AW38" i="1"/>
  <c r="AW52" i="1"/>
  <c r="AW100" i="1"/>
  <c r="AS112" i="1"/>
  <c r="AS147" i="1"/>
  <c r="AW194" i="1"/>
  <c r="AS241" i="1"/>
  <c r="AS28" i="1"/>
  <c r="AS136" i="1"/>
  <c r="AW241" i="1"/>
  <c r="AS276" i="1"/>
  <c r="AW288" i="1"/>
  <c r="AW28" i="1"/>
  <c r="AS41" i="1"/>
  <c r="AS65" i="1"/>
  <c r="AS125" i="1"/>
  <c r="AS183" i="1"/>
  <c r="AS265" i="1"/>
  <c r="AS16" i="1"/>
  <c r="AW53" i="1"/>
  <c r="AS172" i="1"/>
  <c r="AS207" i="1"/>
  <c r="AW101" i="1"/>
  <c r="AW195" i="1"/>
  <c r="AW230" i="1"/>
  <c r="AW265" i="1"/>
  <c r="AS5" i="1"/>
  <c r="AW29" i="1"/>
  <c r="AS66" i="1"/>
  <c r="AS126" i="1"/>
  <c r="AW148" i="1"/>
  <c r="AS184" i="1"/>
  <c r="AS231" i="1"/>
  <c r="AW254" i="1"/>
  <c r="AW196" i="1"/>
  <c r="AW266" i="1"/>
  <c r="AW200" i="1"/>
  <c r="AS232" i="1"/>
  <c r="AS255" i="1"/>
  <c r="AS127" i="1"/>
  <c r="AS209" i="1"/>
  <c r="AW278" i="1"/>
  <c r="AW18" i="1"/>
  <c r="AW43" i="1"/>
  <c r="AS174" i="1"/>
  <c r="AS56" i="1"/>
  <c r="AW79" i="1"/>
  <c r="AW91" i="1"/>
  <c r="AS279" i="1"/>
  <c r="AS256" i="1"/>
  <c r="AW279" i="1"/>
  <c r="AS92" i="1"/>
  <c r="AS268" i="1"/>
  <c r="AS57" i="1"/>
  <c r="AW92" i="1"/>
  <c r="AS140" i="1"/>
  <c r="AW151" i="1"/>
  <c r="AW163" i="1"/>
  <c r="AW80" i="1"/>
  <c r="AS69" i="1"/>
  <c r="AS164" i="1"/>
  <c r="AS187" i="1"/>
  <c r="AS234" i="1"/>
  <c r="AW199" i="1"/>
  <c r="AW222" i="1"/>
  <c r="AS257" i="1"/>
  <c r="AW130" i="1"/>
  <c r="AS29" i="1"/>
  <c r="AW220" i="1"/>
  <c r="AW69" i="1"/>
  <c r="AS81" i="1"/>
  <c r="AW164" i="1"/>
  <c r="AS269" i="1"/>
  <c r="AS33" i="1"/>
  <c r="AS58" i="1"/>
  <c r="AS129" i="1"/>
  <c r="AS211" i="1"/>
  <c r="AW257" i="1"/>
  <c r="AW156" i="1"/>
  <c r="AW102" i="1"/>
  <c r="AW35" i="1"/>
  <c r="AW273" i="1"/>
  <c r="AW14" i="1"/>
  <c r="AS49" i="1"/>
  <c r="AS72" i="1"/>
  <c r="AS105" i="1"/>
  <c r="AW126" i="1"/>
  <c r="AS169" i="1"/>
  <c r="AS179" i="1"/>
  <c r="AS253" i="1"/>
  <c r="AS94" i="1"/>
  <c r="AS222" i="1"/>
  <c r="AW232" i="1"/>
  <c r="AS61" i="1"/>
  <c r="AW72" i="1"/>
  <c r="AS116" i="1"/>
  <c r="AS148" i="1"/>
  <c r="AS284" i="1"/>
  <c r="AW127" i="1"/>
  <c r="AS180" i="1"/>
  <c r="AW201" i="1"/>
  <c r="AW211" i="1"/>
  <c r="AS233" i="1"/>
  <c r="AS243" i="1"/>
  <c r="AS254" i="1"/>
  <c r="AS159" i="1"/>
  <c r="AW264" i="1"/>
  <c r="AW73" i="1"/>
  <c r="AS95" i="1"/>
  <c r="AW180" i="1"/>
  <c r="AS191" i="1"/>
  <c r="AW233" i="1"/>
  <c r="AW243" i="1"/>
  <c r="AW95" i="1"/>
  <c r="AS139" i="1"/>
  <c r="AW191" i="1"/>
  <c r="AS223" i="1"/>
  <c r="AW84" i="1"/>
  <c r="AW117" i="1"/>
  <c r="AW149" i="1"/>
  <c r="AW223" i="1"/>
  <c r="AS63" i="1"/>
  <c r="AW128" i="1"/>
  <c r="AS160" i="1"/>
  <c r="AS213" i="1"/>
  <c r="AW40" i="1"/>
  <c r="AW74" i="1"/>
  <c r="AS85" i="1"/>
  <c r="AW107" i="1"/>
  <c r="AS118" i="1"/>
  <c r="AS150" i="1"/>
  <c r="AW171" i="1"/>
  <c r="AS203" i="1"/>
  <c r="AW234" i="1"/>
  <c r="AW213" i="1"/>
  <c r="AW255" i="1"/>
  <c r="AS75" i="1"/>
  <c r="AW96" i="1"/>
  <c r="AW192" i="1"/>
  <c r="AS224" i="1"/>
  <c r="AS235" i="1"/>
  <c r="AS266" i="1"/>
  <c r="AW5" i="1"/>
  <c r="AW182" i="1"/>
  <c r="AW245" i="1"/>
  <c r="AW129" i="1"/>
  <c r="AS151" i="1"/>
  <c r="AW172" i="1"/>
  <c r="AS204" i="1"/>
  <c r="AS52" i="1"/>
  <c r="AW6" i="1"/>
  <c r="AW204" i="1"/>
  <c r="AW16" i="1"/>
  <c r="AW41" i="1"/>
  <c r="AW64" i="1"/>
  <c r="AW161" i="1"/>
  <c r="AW86" i="1"/>
  <c r="AW120" i="1"/>
  <c r="AS205" i="1"/>
  <c r="AW287" i="1"/>
  <c r="AW97" i="1"/>
  <c r="AS287" i="1"/>
  <c r="AW31" i="1"/>
  <c r="AW152" i="1"/>
  <c r="AS8" i="1"/>
  <c r="AS131" i="1"/>
  <c r="AW205" i="1"/>
  <c r="AS226" i="1"/>
  <c r="AS278" i="1"/>
  <c r="AW30" i="1"/>
  <c r="AS77" i="1"/>
  <c r="AS142" i="1"/>
  <c r="AW184" i="1"/>
  <c r="AS216" i="1"/>
  <c r="AW268" i="1"/>
  <c r="AS173" i="1"/>
  <c r="AW277" i="1"/>
  <c r="AW77" i="1"/>
  <c r="AW131" i="1"/>
  <c r="AW216" i="1"/>
  <c r="AW237" i="1"/>
  <c r="AS55" i="1"/>
  <c r="AW88" i="1"/>
  <c r="AS258" i="1"/>
  <c r="AS288" i="1"/>
  <c r="AW15" i="1"/>
  <c r="AS9" i="1"/>
  <c r="AW32" i="1"/>
  <c r="AS44" i="1"/>
  <c r="AW66" i="1"/>
  <c r="AW110" i="1"/>
  <c r="AS132" i="1"/>
  <c r="AS185" i="1"/>
  <c r="AS206" i="1"/>
  <c r="AS248" i="1"/>
  <c r="AS227" i="1"/>
  <c r="AW258" i="1"/>
  <c r="AW9" i="1"/>
  <c r="AS21" i="1"/>
  <c r="AS78" i="1"/>
  <c r="AS89" i="1"/>
  <c r="AS100" i="1"/>
  <c r="AS122" i="1"/>
  <c r="AS154" i="1"/>
  <c r="AW185" i="1"/>
  <c r="AS196" i="1"/>
  <c r="AS238" i="1"/>
  <c r="AW269" i="1"/>
  <c r="AW61" i="1"/>
  <c r="AW217" i="1"/>
  <c r="AS259" i="1"/>
  <c r="AW44" i="1"/>
  <c r="AW175" i="1"/>
  <c r="AW56" i="1"/>
  <c r="AW89" i="1"/>
  <c r="AW111" i="1"/>
  <c r="AW67" i="1"/>
  <c r="AW186" i="1"/>
  <c r="AS218" i="1"/>
  <c r="AW10" i="1"/>
  <c r="AS22" i="1"/>
  <c r="AS90" i="1"/>
  <c r="AS101" i="1"/>
  <c r="AS165" i="1"/>
  <c r="AW207" i="1"/>
  <c r="AS280" i="1"/>
  <c r="AW45" i="1"/>
  <c r="AS68" i="1"/>
  <c r="AS79" i="1"/>
  <c r="AS197" i="1"/>
  <c r="AW218" i="1"/>
  <c r="AS239" i="1"/>
  <c r="AS270" i="1"/>
  <c r="AW49" i="1"/>
  <c r="AS123" i="1"/>
  <c r="AS144" i="1"/>
  <c r="AS155" i="1"/>
  <c r="AS134" i="1"/>
  <c r="AW239" i="1"/>
  <c r="AS250" i="1"/>
  <c r="AW270" i="1"/>
  <c r="AS73" i="1"/>
  <c r="AW11" i="1"/>
  <c r="AS23" i="1"/>
  <c r="AS46" i="1"/>
  <c r="AW57" i="1"/>
  <c r="AS102" i="1"/>
  <c r="AS166" i="1"/>
  <c r="AW250" i="1"/>
  <c r="AW22" i="1"/>
  <c r="AW112" i="1"/>
  <c r="AW176" i="1"/>
  <c r="AW187" i="1"/>
  <c r="AS198" i="1"/>
  <c r="AS208" i="1"/>
  <c r="AS219" i="1"/>
  <c r="AS281" i="1"/>
  <c r="AS271" i="1"/>
  <c r="AW27" i="1"/>
  <c r="AW198" i="1"/>
  <c r="AS230" i="1"/>
  <c r="AS261" i="1"/>
  <c r="AW271" i="1"/>
  <c r="AW281" i="1"/>
  <c r="AS50" i="1"/>
  <c r="AP2" i="1"/>
  <c r="AW261" i="1"/>
  <c r="AS59" i="1"/>
  <c r="AW209" i="1"/>
  <c r="AW58" i="1"/>
  <c r="AW90" i="1"/>
  <c r="AW34" i="1"/>
  <c r="AW166" i="1"/>
  <c r="AW47" i="1"/>
  <c r="AW13" i="1"/>
  <c r="AS104" i="1"/>
  <c r="AW114" i="1"/>
  <c r="AW125" i="1"/>
  <c r="AW136" i="1"/>
  <c r="AW146" i="1"/>
  <c r="AW157" i="1"/>
  <c r="AW262" i="1"/>
  <c r="AW25" i="1"/>
  <c r="AW272" i="1"/>
  <c r="AS93" i="1"/>
  <c r="AW104" i="1"/>
  <c r="AW168" i="1"/>
  <c r="AS200" i="1"/>
  <c r="AS221" i="1"/>
  <c r="AW93" i="1"/>
  <c r="AW210" i="1"/>
  <c r="AW221" i="1"/>
  <c r="AW242" i="1"/>
  <c r="AW253" i="1"/>
  <c r="AW160" i="1"/>
  <c r="AW225" i="1"/>
  <c r="AW87" i="1"/>
  <c r="AW162" i="1"/>
  <c r="AW65" i="1"/>
  <c r="AW98" i="1"/>
  <c r="AW8" i="1"/>
  <c r="AW226" i="1"/>
  <c r="AW174" i="1"/>
  <c r="AW132" i="1"/>
  <c r="AW206" i="1"/>
  <c r="AW238" i="1"/>
  <c r="AW228" i="1"/>
  <c r="AW208" i="1"/>
  <c r="AW219" i="1"/>
  <c r="AW240" i="1"/>
  <c r="AW81" i="1"/>
  <c r="AW113" i="1"/>
  <c r="AW36" i="1"/>
  <c r="AW37" i="1"/>
  <c r="AW178" i="1"/>
  <c r="AW1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tc={C2B0CB11-E485-40A7-9310-D575E7CFCE13}</author>
  </authors>
  <commentList>
    <comment ref="AE7" authorId="0" shapeId="0" xr:uid="{C2B0CB11-E485-40A7-9310-D575E7CFCE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Dato Automática</t>
      </text>
    </comment>
  </commentList>
</comments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<sst xmlns="http://schemas.openxmlformats.org/spreadsheetml/2006/main" count="3701" uniqueCount="1289">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</sst>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a Jurany Amaya González" id="{65ED52C1-E690-4DDD-B17F-350ED86B6621}" userId="S::ajamayag@ideam.gov.co::b76f14b7-8d13-4f5d-ab6c-636c78a4c5e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7" dT="2026-08-22T15:12:57.34" personId="{65ED52C1-E690-4DDD-B17F-350ED86B6621}" id="{C2B0CB11-E485-40A7-9310-D575E7CFCE13}">
    <text>Dato Automática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X1" zoomScale="70" zoomScaleNormal="70" workbookViewId="0">
      <selection activeCell="AZ44" sqref="AZ44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3" width="32.42578125" style="51" customWidth="1"/>
    <col min="174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40.799999999999997</v>
      </c>
      <c r="AD2" s="92">
        <f t="shared" si="0"/>
        <v>40.6</v>
      </c>
      <c r="AE2" s="92">
        <f t="shared" si="0"/>
        <v>40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>
        <v>31.7</v>
      </c>
      <c r="AD5" s="66">
        <v>32.1</v>
      </c>
      <c r="AE5" s="66">
        <v>32.5</v>
      </c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21</v>
      </c>
      <c r="AQ5" s="68">
        <f t="shared" ref="AQ5:AQ68" si="2">IF(AP5&gt;14,AVERAGE(K5:AO5),"")</f>
        <v>31.657142857142862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1.1411993877186717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>
        <v>31.4</v>
      </c>
      <c r="AD6" s="66">
        <v>31.6</v>
      </c>
      <c r="AE6" s="66">
        <v>31.9</v>
      </c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21</v>
      </c>
      <c r="AQ6" s="68">
        <f t="shared" si="2"/>
        <v>31.733333333333331</v>
      </c>
      <c r="AR6" s="68">
        <f>IFERROR(VLOOKUP(A6,Climatologia_TMAX!A:U,9+$E$2,FALSE),"")</f>
        <v>31.046424304488809</v>
      </c>
      <c r="AS6" s="68">
        <f t="shared" si="3"/>
        <v>0.68690902884452143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>
        <v>35</v>
      </c>
      <c r="AD7" s="66">
        <v>36.4</v>
      </c>
      <c r="AE7" s="117">
        <v>39.6</v>
      </c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21</v>
      </c>
      <c r="AQ7" s="68">
        <f t="shared" si="2"/>
        <v>35.390476190476193</v>
      </c>
      <c r="AR7" s="68">
        <f>IFERROR(VLOOKUP(A7,Climatologia_TMAX!A:U,9+$E$2,FALSE),"")</f>
        <v>33.115285708400279</v>
      </c>
      <c r="AS7" s="68">
        <f t="shared" si="3"/>
        <v>2.2751904820759137</v>
      </c>
      <c r="AT7" s="74">
        <f t="shared" si="4"/>
        <v>39.6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1.2000000000000028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>
        <v>32.9</v>
      </c>
      <c r="AD8" s="66">
        <v>33.299999999999997</v>
      </c>
      <c r="AE8" s="66">
        <v>34.6</v>
      </c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21</v>
      </c>
      <c r="AQ8" s="68">
        <f t="shared" si="2"/>
        <v>33.557142857142857</v>
      </c>
      <c r="AR8" s="68">
        <f>IFERROR(VLOOKUP(A8,Climatologia_TMAX!A:U,9+$E$2,FALSE),"")</f>
        <v>32.243805889046577</v>
      </c>
      <c r="AS8" s="68">
        <f t="shared" si="3"/>
        <v>1.3133369680962801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>
        <v>34.799999999999997</v>
      </c>
      <c r="AD9" s="66">
        <v>37.200000000000003</v>
      </c>
      <c r="AE9" s="66">
        <v>38</v>
      </c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21</v>
      </c>
      <c r="AQ9" s="68">
        <f t="shared" si="2"/>
        <v>34.990476190476187</v>
      </c>
      <c r="AR9" s="68">
        <f>IFERROR(VLOOKUP(A9,Climatologia_TMAX!A:U,9+$E$2,FALSE),"")</f>
        <v>33.507160697070823</v>
      </c>
      <c r="AS9" s="68">
        <f t="shared" si="3"/>
        <v>1.4833154934053638</v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-0.70000000000000284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>
        <v>37.799999999999997</v>
      </c>
      <c r="AD10" s="66">
        <v>38.299999999999997</v>
      </c>
      <c r="AE10" s="66">
        <v>37</v>
      </c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21</v>
      </c>
      <c r="AQ10" s="68">
        <f t="shared" si="2"/>
        <v>36.914285714285711</v>
      </c>
      <c r="AR10" s="68">
        <f>IFERROR(VLOOKUP(A10,Climatologia_TMAX!A:U,9+$E$2,FALSE),"")</f>
        <v>35.037947033054557</v>
      </c>
      <c r="AS10" s="68">
        <f t="shared" si="3"/>
        <v>1.8763386812311538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>
        <v>38.4</v>
      </c>
      <c r="AD11" s="66">
        <v>39.4</v>
      </c>
      <c r="AE11" s="66">
        <v>39.5</v>
      </c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21</v>
      </c>
      <c r="AQ11" s="68">
        <f t="shared" si="2"/>
        <v>39.314285714285717</v>
      </c>
      <c r="AR11" s="68">
        <f>IFERROR(VLOOKUP(A11,Climatologia_TMAX!A:U,9+$E$2,FALSE),"")</f>
        <v>35.179462365591398</v>
      </c>
      <c r="AS11" s="68">
        <f t="shared" si="3"/>
        <v>4.1348233486943187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>
        <v>36</v>
      </c>
      <c r="AD12" s="66">
        <v>35.200000000000003</v>
      </c>
      <c r="AE12" s="66">
        <v>36.6</v>
      </c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21</v>
      </c>
      <c r="AQ12" s="68">
        <f t="shared" si="2"/>
        <v>34.638095238095239</v>
      </c>
      <c r="AR12" s="68">
        <f>IFERROR(VLOOKUP(A12,Climatologia_TMAX!A:U,9+$E$2,FALSE),"")</f>
        <v>33.065084280874721</v>
      </c>
      <c r="AS12" s="68">
        <f t="shared" si="3"/>
        <v>1.573010957220518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>
        <v>34.4</v>
      </c>
      <c r="AD13" s="66">
        <v>36</v>
      </c>
      <c r="AE13" s="66">
        <v>34.6</v>
      </c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21</v>
      </c>
      <c r="AQ13" s="68">
        <f t="shared" si="2"/>
        <v>35.519047619047626</v>
      </c>
      <c r="AR13" s="68">
        <f>IFERROR(VLOOKUP(A13,Climatologia_TMAX!A:U,9+$E$2,FALSE),"")</f>
        <v>32.703385242862417</v>
      </c>
      <c r="AS13" s="68">
        <f t="shared" si="3"/>
        <v>2.8156623761852089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>
        <v>29</v>
      </c>
      <c r="AD14" s="66">
        <v>30.3</v>
      </c>
      <c r="AE14" s="66">
        <v>27.6</v>
      </c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21</v>
      </c>
      <c r="AQ14" s="68">
        <f t="shared" si="2"/>
        <v>29.071428571428573</v>
      </c>
      <c r="AR14" s="68">
        <f>IFERROR(VLOOKUP(A14,Climatologia_TMAX!A:U,9+$E$2,FALSE),"")</f>
        <v>26.343645559538029</v>
      </c>
      <c r="AS14" s="68">
        <f t="shared" si="3"/>
        <v>2.7277830118905442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>
        <v>37.200000000000003</v>
      </c>
      <c r="AD15" s="66">
        <v>35.9</v>
      </c>
      <c r="AE15" s="66">
        <v>37.6</v>
      </c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21</v>
      </c>
      <c r="AQ15" s="68">
        <f t="shared" si="2"/>
        <v>35.75238095238096</v>
      </c>
      <c r="AR15" s="68">
        <f>IFERROR(VLOOKUP(A15,Climatologia_TMAX!A:U,9+$E$2,FALSE),"")</f>
        <v>34.207406451612897</v>
      </c>
      <c r="AS15" s="68">
        <f t="shared" si="3"/>
        <v>1.5449745007680633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>
        <v>34.700000000000003</v>
      </c>
      <c r="AD16" s="66">
        <v>33.9</v>
      </c>
      <c r="AE16" s="66">
        <v>34.4</v>
      </c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21</v>
      </c>
      <c r="AQ16" s="68">
        <f t="shared" si="2"/>
        <v>32.166666666666664</v>
      </c>
      <c r="AR16" s="68">
        <f>IFERROR(VLOOKUP(A16,Climatologia_TMAX!A:U,9+$E$2,FALSE),"")</f>
        <v>31.919167946748601</v>
      </c>
      <c r="AS16" s="68">
        <f t="shared" si="3"/>
        <v>0.24749871991806316</v>
      </c>
      <c r="AT16" s="74">
        <f t="shared" si="4"/>
        <v>34.700000000000003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-0.29999999999999716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>
        <v>32.299999999999997</v>
      </c>
      <c r="AD17" s="66">
        <v>31.8</v>
      </c>
      <c r="AE17" s="66">
        <v>31.5</v>
      </c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21</v>
      </c>
      <c r="AQ17" s="68">
        <f t="shared" si="2"/>
        <v>30.961904761904758</v>
      </c>
      <c r="AR17" s="68">
        <f>IFERROR(VLOOKUP(A17,Climatologia_TMAX!A:U,9+$E$2,FALSE),"")</f>
        <v>28.699699180747569</v>
      </c>
      <c r="AS17" s="68">
        <f t="shared" si="3"/>
        <v>2.2622055811571897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>
        <v>25</v>
      </c>
      <c r="AD18" s="66">
        <v>25.4</v>
      </c>
      <c r="AE18" s="66">
        <v>24.7</v>
      </c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21</v>
      </c>
      <c r="AQ18" s="68">
        <f t="shared" si="2"/>
        <v>24.538095238095234</v>
      </c>
      <c r="AR18" s="68">
        <f>IFERROR(VLOOKUP(A18,Climatologia_TMAX!A:U,9+$E$2,FALSE),"")</f>
        <v>22.70234743584826</v>
      </c>
      <c r="AS18" s="68">
        <f t="shared" si="3"/>
        <v>1.8357478022469742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>
        <v>29.4</v>
      </c>
      <c r="AD19" s="66">
        <v>31.2</v>
      </c>
      <c r="AE19" s="66">
        <v>30.4</v>
      </c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21</v>
      </c>
      <c r="AQ19" s="68">
        <f t="shared" si="2"/>
        <v>29.571428571428573</v>
      </c>
      <c r="AR19" s="68">
        <f>IFERROR(VLOOKUP(A19,Climatologia_TMAX!A:U,9+$E$2,FALSE),"")</f>
        <v>27.308103225806452</v>
      </c>
      <c r="AS19" s="68">
        <f t="shared" si="3"/>
        <v>2.2633253456221212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>
        <v>30.7</v>
      </c>
      <c r="AD20" s="66">
        <v>33.5</v>
      </c>
      <c r="AE20" s="66">
        <v>32.1</v>
      </c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21</v>
      </c>
      <c r="AQ20" s="68">
        <f t="shared" si="2"/>
        <v>30.852380952380958</v>
      </c>
      <c r="AR20" s="68">
        <f>IFERROR(VLOOKUP(A20,Climatologia_TMAX!A:U,9+$E$2,FALSE),"")</f>
        <v>28.821983273596171</v>
      </c>
      <c r="AS20" s="68">
        <f t="shared" si="3"/>
        <v>2.0303976787847873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>
        <v>34.9</v>
      </c>
      <c r="AD21" s="66">
        <v>35.200000000000003</v>
      </c>
      <c r="AE21" s="66">
        <v>34.4</v>
      </c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21</v>
      </c>
      <c r="AQ21" s="68">
        <f t="shared" si="2"/>
        <v>34.185714285714283</v>
      </c>
      <c r="AR21" s="68">
        <f>IFERROR(VLOOKUP(A21,Climatologia_TMAX!A:U,9+$E$2,FALSE),"")</f>
        <v>31.558535251017972</v>
      </c>
      <c r="AS21" s="68">
        <f t="shared" si="3"/>
        <v>2.6271790346963115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>
        <v>21.4</v>
      </c>
      <c r="AD22" s="66">
        <v>20.9</v>
      </c>
      <c r="AE22" s="66">
        <v>20.399999999999999</v>
      </c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21</v>
      </c>
      <c r="AQ22" s="68">
        <f t="shared" si="2"/>
        <v>20.028571428571425</v>
      </c>
      <c r="AR22" s="68">
        <f>IFERROR(VLOOKUP(A22,Climatologia_TMAX!A:U,9+$E$2,FALSE),"")</f>
        <v>18.772940161432931</v>
      </c>
      <c r="AS22" s="68">
        <f t="shared" si="3"/>
        <v>1.2556312671384937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>
        <v>33.1</v>
      </c>
      <c r="AD23" s="66">
        <v>34.700000000000003</v>
      </c>
      <c r="AE23" s="66">
        <v>33.9</v>
      </c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21</v>
      </c>
      <c r="AQ23" s="68">
        <f t="shared" si="2"/>
        <v>32.452380952380949</v>
      </c>
      <c r="AR23" s="68">
        <f>IFERROR(VLOOKUP(A23,Climatologia_TMAX!A:U,9+$E$2,FALSE),"")</f>
        <v>31.11792011972717</v>
      </c>
      <c r="AS23" s="68">
        <f t="shared" si="3"/>
        <v>1.3344608326537788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>
        <v>37.200000000000003</v>
      </c>
      <c r="AD24" s="66">
        <v>36.4</v>
      </c>
      <c r="AE24" s="66">
        <v>36.799999999999997</v>
      </c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21</v>
      </c>
      <c r="AQ24" s="68">
        <f t="shared" si="2"/>
        <v>36.057142857142857</v>
      </c>
      <c r="AR24" s="68">
        <f>IFERROR(VLOOKUP(A24,Climatologia_TMAX!A:U,9+$E$2,FALSE),"")</f>
        <v>34.619032258064507</v>
      </c>
      <c r="AS24" s="68">
        <f t="shared" si="3"/>
        <v>1.4381105990783496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>
        <v>28.6</v>
      </c>
      <c r="AD25" s="66">
        <v>27.5</v>
      </c>
      <c r="AE25" s="66">
        <v>28.3</v>
      </c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21</v>
      </c>
      <c r="AQ25" s="68">
        <f t="shared" si="2"/>
        <v>27.185714285714283</v>
      </c>
      <c r="AR25" s="68">
        <f>IFERROR(VLOOKUP(A25,Climatologia_TMAX!A:U,9+$E$2,FALSE),"")</f>
        <v>26.14732965766952</v>
      </c>
      <c r="AS25" s="68">
        <f t="shared" si="3"/>
        <v>1.0383846280447635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>
        <v>15.6</v>
      </c>
      <c r="AD26" s="66">
        <v>14.2</v>
      </c>
      <c r="AE26" s="66">
        <v>15.4</v>
      </c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21</v>
      </c>
      <c r="AQ26" s="68">
        <f t="shared" si="2"/>
        <v>15.419047619047618</v>
      </c>
      <c r="AR26" s="68">
        <f>IFERROR(VLOOKUP(A26,Climatologia_TMAX!A:U,9+$E$2,FALSE),"")</f>
        <v>14.98521690767519</v>
      </c>
      <c r="AS26" s="68">
        <f t="shared" si="3"/>
        <v>0.43383071137242801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>
        <v>33.700000000000003</v>
      </c>
      <c r="AD27" s="66">
        <v>32.799999999999997</v>
      </c>
      <c r="AE27" s="66">
        <v>33.4</v>
      </c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21</v>
      </c>
      <c r="AQ27" s="68">
        <f t="shared" si="2"/>
        <v>32.266666666666666</v>
      </c>
      <c r="AR27" s="68">
        <f>IFERROR(VLOOKUP(A27,Climatologia_TMAX!A:U,9+$E$2,FALSE),"")</f>
        <v>31.229699666295879</v>
      </c>
      <c r="AS27" s="68">
        <f t="shared" si="3"/>
        <v>1.0369670003707867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>
        <v>33.9</v>
      </c>
      <c r="AD28" s="66">
        <v>33</v>
      </c>
      <c r="AE28" s="66">
        <v>32.299999999999997</v>
      </c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21</v>
      </c>
      <c r="AQ28" s="68">
        <f t="shared" si="2"/>
        <v>32.29999999999999</v>
      </c>
      <c r="AR28" s="68">
        <f>IFERROR(VLOOKUP(A28,Climatologia_TMAX!A:U,9+$E$2,FALSE),"")</f>
        <v>30.80035842293907</v>
      </c>
      <c r="AS28" s="68">
        <f t="shared" si="3"/>
        <v>1.4996415770609204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>
        <v>33</v>
      </c>
      <c r="AD29" s="66">
        <v>33.6</v>
      </c>
      <c r="AE29" s="66">
        <v>29.4</v>
      </c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21</v>
      </c>
      <c r="AQ29" s="68">
        <f t="shared" si="2"/>
        <v>32.033333333333339</v>
      </c>
      <c r="AR29" s="68">
        <f>IFERROR(VLOOKUP(A29,Climatologia_TMAX!A:U,9+$E$2,FALSE),"")</f>
        <v>31.513637374860959</v>
      </c>
      <c r="AS29" s="68">
        <f t="shared" si="3"/>
        <v>0.51969595847237926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>
        <v>32.6</v>
      </c>
      <c r="AD30" s="66">
        <v>32.6</v>
      </c>
      <c r="AE30" s="66">
        <v>30.4</v>
      </c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21</v>
      </c>
      <c r="AQ30" s="68">
        <f t="shared" si="2"/>
        <v>30.866666666666664</v>
      </c>
      <c r="AR30" s="68">
        <f>IFERROR(VLOOKUP(A30,Climatologia_TMAX!A:U,9+$E$2,FALSE),"")</f>
        <v>29.807563959955498</v>
      </c>
      <c r="AS30" s="68">
        <f t="shared" si="3"/>
        <v>1.0591027067111654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>
        <v>31</v>
      </c>
      <c r="AD31" s="105">
        <v>33.6</v>
      </c>
      <c r="AE31" s="105">
        <v>29.6</v>
      </c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21</v>
      </c>
      <c r="AQ31" s="68">
        <f t="shared" si="2"/>
        <v>31.81904761904762</v>
      </c>
      <c r="AR31" s="68">
        <f>IFERROR(VLOOKUP(A31,Climatologia_TMAX!A:U,9+$E$2,FALSE),"")</f>
        <v>31.390004135649299</v>
      </c>
      <c r="AS31" s="68">
        <f t="shared" si="3"/>
        <v>0.42904348339832055</v>
      </c>
      <c r="AT31" s="74">
        <f t="shared" si="4"/>
        <v>33.6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>
        <v>26</v>
      </c>
      <c r="AD33" s="66">
        <v>25.6</v>
      </c>
      <c r="AE33" s="66">
        <v>26.8</v>
      </c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21</v>
      </c>
      <c r="AQ33" s="68">
        <f t="shared" si="2"/>
        <v>26.190476190476186</v>
      </c>
      <c r="AR33" s="68">
        <f>IFERROR(VLOOKUP(A33,Climatologia_TMAX!A:U,9+$E$2,FALSE),"")</f>
        <v>24.65905872628246</v>
      </c>
      <c r="AS33" s="68">
        <f t="shared" si="3"/>
        <v>1.5314174641937264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>
        <v>38</v>
      </c>
      <c r="AD36" s="66">
        <v>37.799999999999997</v>
      </c>
      <c r="AE36" s="66">
        <v>37.799999999999997</v>
      </c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21</v>
      </c>
      <c r="AQ36" s="68">
        <f t="shared" si="2"/>
        <v>37.828571428571429</v>
      </c>
      <c r="AR36" s="68">
        <f>IFERROR(VLOOKUP(A36,Climatologia_TMAX!A:U,9+$E$2,FALSE),"")</f>
        <v>34.16273657398132</v>
      </c>
      <c r="AS36" s="68">
        <f t="shared" si="3"/>
        <v>3.6658348545901092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>
        <v>29.6</v>
      </c>
      <c r="AD38" s="66">
        <v>29.4</v>
      </c>
      <c r="AE38" s="66">
        <v>29</v>
      </c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21</v>
      </c>
      <c r="AQ38" s="68">
        <f t="shared" si="2"/>
        <v>28.714285714285715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>
        <v>27.4</v>
      </c>
      <c r="AD39" s="66">
        <v>27.2</v>
      </c>
      <c r="AE39" s="66">
        <v>27.2</v>
      </c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21</v>
      </c>
      <c r="AQ39" s="68">
        <f t="shared" si="2"/>
        <v>27.157142857142862</v>
      </c>
      <c r="AR39" s="68">
        <f>IFERROR(VLOOKUP(A39,Climatologia_TMAX!A:U,9+$E$2,FALSE),"")</f>
        <v>23.769828120099859</v>
      </c>
      <c r="AS39" s="68">
        <f t="shared" si="3"/>
        <v>3.3873147370430026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>
        <v>22.8</v>
      </c>
      <c r="AD40" s="66">
        <v>21.8</v>
      </c>
      <c r="AE40" s="66">
        <v>22.8</v>
      </c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21</v>
      </c>
      <c r="AQ40" s="68">
        <f t="shared" si="2"/>
        <v>22.219047619047622</v>
      </c>
      <c r="AR40" s="68">
        <f>IFERROR(VLOOKUP(A40,Climatologia_TMAX!A:U,9+$E$2,FALSE),"")</f>
        <v>20.644739340007408</v>
      </c>
      <c r="AS40" s="68">
        <f t="shared" si="3"/>
        <v>1.5743082790402134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>
        <v>33</v>
      </c>
      <c r="AD42" s="66">
        <v>31.6</v>
      </c>
      <c r="AE42" s="66">
        <v>33</v>
      </c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21</v>
      </c>
      <c r="AQ42" s="68">
        <f t="shared" si="2"/>
        <v>32.6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>
        <v>34.200000000000003</v>
      </c>
      <c r="AD43" s="66">
        <v>35.200000000000003</v>
      </c>
      <c r="AE43" s="66">
        <v>34.200000000000003</v>
      </c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21</v>
      </c>
      <c r="AQ43" s="68">
        <f t="shared" si="2"/>
        <v>32.876190476190487</v>
      </c>
      <c r="AR43" s="68">
        <f>IFERROR(VLOOKUP(A43,Climatologia_TMAX!A:U,9+$E$2,FALSE),"")</f>
        <v>31.773456872106181</v>
      </c>
      <c r="AS43" s="68">
        <f t="shared" si="3"/>
        <v>1.1027336040843068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>
        <v>29</v>
      </c>
      <c r="AD44" s="66">
        <v>28.2</v>
      </c>
      <c r="AE44" s="66">
        <v>27</v>
      </c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20</v>
      </c>
      <c r="AQ44" s="68">
        <f t="shared" si="2"/>
        <v>27.97</v>
      </c>
      <c r="AR44" s="68">
        <f>IFERROR(VLOOKUP(A44,Climatologia_TMAX!A:U,9+$E$2,FALSE),"")</f>
        <v>23.004822024471629</v>
      </c>
      <c r="AS44" s="68">
        <f t="shared" si="3"/>
        <v>4.9651779755283698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>
        <v>36</v>
      </c>
      <c r="AD45" s="66">
        <v>37</v>
      </c>
      <c r="AE45" s="66">
        <v>36.6</v>
      </c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21</v>
      </c>
      <c r="AQ45" s="68">
        <f t="shared" si="2"/>
        <v>35.409523809523819</v>
      </c>
      <c r="AR45" s="68">
        <f>IFERROR(VLOOKUP(A45,Climatologia_TMAX!A:U,9+$E$2,FALSE),"")</f>
        <v>32.923758320532507</v>
      </c>
      <c r="AS45" s="68">
        <f t="shared" si="3"/>
        <v>2.4857654889913121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>
        <v>31.8</v>
      </c>
      <c r="AD46" s="66">
        <v>32.200000000000003</v>
      </c>
      <c r="AE46" s="66">
        <v>32</v>
      </c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21</v>
      </c>
      <c r="AQ46" s="68">
        <f t="shared" si="2"/>
        <v>31.685714285714283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>
        <v>35.6</v>
      </c>
      <c r="AD49" s="66">
        <v>35.4</v>
      </c>
      <c r="AE49" s="66">
        <v>36.4</v>
      </c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21</v>
      </c>
      <c r="AQ49" s="68">
        <f t="shared" si="2"/>
        <v>34.738095238095241</v>
      </c>
      <c r="AR49" s="68">
        <f>IFERROR(VLOOKUP(A49,Climatologia_TMAX!A:U,9+$E$2,FALSE),"")</f>
        <v>32.535336464610658</v>
      </c>
      <c r="AS49" s="68">
        <f t="shared" si="3"/>
        <v>2.2027587734845824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>
        <v>33</v>
      </c>
      <c r="AD52" s="66">
        <v>33.200000000000003</v>
      </c>
      <c r="AE52" s="66">
        <v>33.799999999999997</v>
      </c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21</v>
      </c>
      <c r="AQ52" s="68">
        <f t="shared" si="2"/>
        <v>32.457142857142856</v>
      </c>
      <c r="AR52" s="68">
        <f>IFERROR(VLOOKUP(A52,Climatologia_TMAX!A:U,9+$E$2,FALSE),"")</f>
        <v>31.265434885322311</v>
      </c>
      <c r="AS52" s="68">
        <f t="shared" si="3"/>
        <v>1.191707971820545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>
        <v>35.200000000000003</v>
      </c>
      <c r="AD53" s="66">
        <v>33.200000000000003</v>
      </c>
      <c r="AE53" s="66">
        <v>34</v>
      </c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21</v>
      </c>
      <c r="AQ53" s="68">
        <f t="shared" si="2"/>
        <v>33.857142857142868</v>
      </c>
      <c r="AR53" s="68">
        <f>IFERROR(VLOOKUP(A53,Climatologia_TMAX!A:U,9+$E$2,FALSE),"")</f>
        <v>32.397587365591413</v>
      </c>
      <c r="AS53" s="68">
        <f t="shared" si="3"/>
        <v>1.4595554915514555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>
        <v>39</v>
      </c>
      <c r="AD54" s="66">
        <v>39</v>
      </c>
      <c r="AE54" s="66">
        <v>39.200000000000003</v>
      </c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21</v>
      </c>
      <c r="AQ54" s="68">
        <f t="shared" si="2"/>
        <v>37.638095238095239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>
        <v>37.4</v>
      </c>
      <c r="AD55" s="66">
        <v>36.799999999999997</v>
      </c>
      <c r="AE55" s="66">
        <v>37.6</v>
      </c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20</v>
      </c>
      <c r="AQ55" s="68">
        <f t="shared" si="2"/>
        <v>35.769999999999996</v>
      </c>
      <c r="AR55" s="68">
        <f>IFERROR(VLOOKUP(A55,Climatologia_TMAX!A:U,9+$E$2,FALSE),"")</f>
        <v>32.916625540651467</v>
      </c>
      <c r="AS55" s="68">
        <f t="shared" si="3"/>
        <v>2.8533744593485295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>
        <v>34.9</v>
      </c>
      <c r="AD67" s="66">
        <v>35</v>
      </c>
      <c r="AE67" s="66">
        <v>35</v>
      </c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21</v>
      </c>
      <c r="AQ67" s="68">
        <f t="shared" si="2"/>
        <v>33.595238095238095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>
        <v>35.200000000000003</v>
      </c>
      <c r="AD76" s="66">
        <v>36.4</v>
      </c>
      <c r="AE76" s="66">
        <v>36</v>
      </c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21</v>
      </c>
      <c r="AQ76" s="68">
        <f t="shared" si="7"/>
        <v>34.704761904761916</v>
      </c>
      <c r="AR76" s="68">
        <f>IFERROR(VLOOKUP(A76,Climatologia_TMAX!A:U,9+$E$2,FALSE),"")</f>
        <v>32.131914371977928</v>
      </c>
      <c r="AS76" s="68">
        <f t="shared" si="8"/>
        <v>2.5728475327839888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>
        <v>33.200000000000003</v>
      </c>
      <c r="AD77" s="66">
        <v>31.6</v>
      </c>
      <c r="AE77" s="66">
        <v>28.4</v>
      </c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21</v>
      </c>
      <c r="AQ77" s="68">
        <f t="shared" si="7"/>
        <v>31.31428571428572</v>
      </c>
      <c r="AR77" s="68">
        <f>IFERROR(VLOOKUP(A77,Climatologia_TMAX!A:U,9+$E$2,FALSE),"")</f>
        <v>30.717419354838722</v>
      </c>
      <c r="AS77" s="68">
        <f t="shared" si="8"/>
        <v>0.59686635944699873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>
        <v>31.6</v>
      </c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12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>
        <v>33.4</v>
      </c>
      <c r="AD80" s="66">
        <v>32.4</v>
      </c>
      <c r="AE80" s="66">
        <v>30.8</v>
      </c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16</v>
      </c>
      <c r="AQ80" s="68">
        <f t="shared" si="7"/>
        <v>32.012499999999996</v>
      </c>
      <c r="AR80" s="68">
        <f>IFERROR(VLOOKUP(A80,Climatologia_TMAX!A:U,9+$E$2,FALSE),"")</f>
        <v>30.68247751700186</v>
      </c>
      <c r="AS80" s="68">
        <f t="shared" si="8"/>
        <v>1.3300224829981353</v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>
        <v>32.6</v>
      </c>
      <c r="AD81" s="66">
        <v>32.4</v>
      </c>
      <c r="AE81" s="66">
        <v>32.4</v>
      </c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21</v>
      </c>
      <c r="AQ81" s="68">
        <f t="shared" si="7"/>
        <v>31.138095238095236</v>
      </c>
      <c r="AR81" s="68">
        <f>IFERROR(VLOOKUP(A81,Climatologia_TMAX!A:U,9+$E$2,FALSE),"")</f>
        <v>30.066096038514271</v>
      </c>
      <c r="AS81" s="68">
        <f t="shared" si="8"/>
        <v>1.071999199580965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>
        <v>34</v>
      </c>
      <c r="AD83" s="66">
        <v>32.4</v>
      </c>
      <c r="AE83" s="66">
        <v>31</v>
      </c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21</v>
      </c>
      <c r="AQ83" s="68">
        <f t="shared" si="7"/>
        <v>32.342857142857142</v>
      </c>
      <c r="AR83" s="68">
        <f>IFERROR(VLOOKUP(A83,Climatologia_TMAX!A:U,9+$E$2,FALSE),"")</f>
        <v>30.100740998164522</v>
      </c>
      <c r="AS83" s="68">
        <f t="shared" si="8"/>
        <v>2.2421161446926199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>
        <v>31.4</v>
      </c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>
        <v>32.799999999999997</v>
      </c>
      <c r="AD85" s="66">
        <v>32.6</v>
      </c>
      <c r="AE85" s="66">
        <v>30.6</v>
      </c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21</v>
      </c>
      <c r="AQ85" s="68">
        <f t="shared" si="7"/>
        <v>31.104761904761908</v>
      </c>
      <c r="AR85" s="68">
        <f>IFERROR(VLOOKUP(A85,Climatologia_TMAX!A:U,9+$E$2,FALSE),"")</f>
        <v>30.126684246732939</v>
      </c>
      <c r="AS85" s="68">
        <f t="shared" si="8"/>
        <v>0.97807765802896895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>
        <v>30.6</v>
      </c>
      <c r="Z86" s="66">
        <v>28.6</v>
      </c>
      <c r="AA86" s="66">
        <v>28.2</v>
      </c>
      <c r="AB86" s="66">
        <v>30.6</v>
      </c>
      <c r="AC86" s="66">
        <v>33</v>
      </c>
      <c r="AD86" s="66">
        <v>31.8</v>
      </c>
      <c r="AE86" s="66">
        <v>31.4</v>
      </c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21</v>
      </c>
      <c r="AQ86" s="68">
        <f t="shared" si="7"/>
        <v>31.323809523809523</v>
      </c>
      <c r="AR86" s="68">
        <f>IFERROR(VLOOKUP(A86,Climatologia_TMAX!A:U,9+$E$2,FALSE),"")</f>
        <v>30.211657926170119</v>
      </c>
      <c r="AS86" s="68">
        <f t="shared" si="8"/>
        <v>1.1121515976394036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>
        <v>32.4</v>
      </c>
      <c r="AD87" s="66">
        <v>33.200000000000003</v>
      </c>
      <c r="AE87" s="66">
        <v>28.2</v>
      </c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21</v>
      </c>
      <c r="AQ87" s="68">
        <f t="shared" si="7"/>
        <v>31.666666666666661</v>
      </c>
      <c r="AR87" s="68">
        <f>IFERROR(VLOOKUP(A87,Climatologia_TMAX!A:U,9+$E$2,FALSE),"")</f>
        <v>30.420577139515899</v>
      </c>
      <c r="AS87" s="68">
        <f t="shared" si="8"/>
        <v>1.2460895271507617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>
        <v>31</v>
      </c>
      <c r="AD90" s="66">
        <v>32.299999999999997</v>
      </c>
      <c r="AE90" s="66">
        <v>31</v>
      </c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21</v>
      </c>
      <c r="AQ90" s="68">
        <f t="shared" si="7"/>
        <v>31.395238095238089</v>
      </c>
      <c r="AR90" s="68">
        <f>IFERROR(VLOOKUP(A90,Climatologia_TMAX!A:U,9+$E$2,FALSE),"")</f>
        <v>30.14398006331821</v>
      </c>
      <c r="AS90" s="68">
        <f t="shared" si="8"/>
        <v>1.2512580319198783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>
        <v>33</v>
      </c>
      <c r="AD91" s="66">
        <v>32.1</v>
      </c>
      <c r="AE91" s="66">
        <v>29.1</v>
      </c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21</v>
      </c>
      <c r="AQ91" s="68">
        <f t="shared" si="7"/>
        <v>31.490476190476198</v>
      </c>
      <c r="AR91" s="68">
        <f>IFERROR(VLOOKUP(A91,Climatologia_TMAX!A:U,9+$E$2,FALSE),"")</f>
        <v>30.948480459796951</v>
      </c>
      <c r="AS91" s="68">
        <f t="shared" si="8"/>
        <v>0.54199573067924689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>
        <v>32.200000000000003</v>
      </c>
      <c r="AD94" s="66">
        <v>33</v>
      </c>
      <c r="AE94" s="66">
        <v>30.4</v>
      </c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21</v>
      </c>
      <c r="AQ94" s="68">
        <f t="shared" si="7"/>
        <v>31.790476190476188</v>
      </c>
      <c r="AR94" s="68">
        <f>IFERROR(VLOOKUP(A94,Climatologia_TMAX!A:U,9+$E$2,FALSE),"")</f>
        <v>31.022074370307589</v>
      </c>
      <c r="AS94" s="68">
        <f t="shared" si="8"/>
        <v>0.7684018201685987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>
        <v>28</v>
      </c>
      <c r="AD99" s="66">
        <v>26.4</v>
      </c>
      <c r="AE99" s="66">
        <v>27.4</v>
      </c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21</v>
      </c>
      <c r="AQ99" s="68">
        <f t="shared" si="7"/>
        <v>26.114285714285714</v>
      </c>
      <c r="AR99" s="68">
        <f>IFERROR(VLOOKUP(A99,Climatologia_TMAX!A:U,9+$E$2,FALSE),"")</f>
        <v>24.718314208501919</v>
      </c>
      <c r="AS99" s="68">
        <f t="shared" si="8"/>
        <v>1.3959715057837947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>
        <v>40.200000000000003</v>
      </c>
      <c r="AD100" s="66">
        <v>39.799999999999997</v>
      </c>
      <c r="AE100" s="66">
        <v>40</v>
      </c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21</v>
      </c>
      <c r="AQ100" s="68">
        <f t="shared" si="7"/>
        <v>39.019047619047612</v>
      </c>
      <c r="AR100" s="68">
        <f>IFERROR(VLOOKUP(A100,Climatologia_TMAX!A:U,9+$E$2,FALSE),"")</f>
        <v>37.075361698510143</v>
      </c>
      <c r="AS100" s="68">
        <f t="shared" si="8"/>
        <v>1.9436859205374688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>
        <v>31.8</v>
      </c>
      <c r="AD102" s="66">
        <v>31.6</v>
      </c>
      <c r="AE102" s="66">
        <v>31</v>
      </c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20</v>
      </c>
      <c r="AQ102" s="68">
        <f t="shared" si="7"/>
        <v>30.035000000000004</v>
      </c>
      <c r="AR102" s="68">
        <f>IFERROR(VLOOKUP(A102,Climatologia_TMAX!A:U,9+$E$2,FALSE),"")</f>
        <v>27.909677419354839</v>
      </c>
      <c r="AS102" s="68">
        <f t="shared" si="8"/>
        <v>2.1253225806451645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>
        <v>39.200000000000003</v>
      </c>
      <c r="AD104" s="66">
        <v>39.4</v>
      </c>
      <c r="AE104" s="66">
        <v>39.4</v>
      </c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21</v>
      </c>
      <c r="AQ104" s="68">
        <f t="shared" si="7"/>
        <v>37.48571428571428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>
        <v>30.4</v>
      </c>
      <c r="AD105" s="66">
        <v>29.4</v>
      </c>
      <c r="AE105" s="66">
        <v>31.8</v>
      </c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21</v>
      </c>
      <c r="AQ105" s="68">
        <f t="shared" si="7"/>
        <v>30.038095238095234</v>
      </c>
      <c r="AR105" s="68">
        <f>IFERROR(VLOOKUP(A105,Climatologia_TMAX!A:U,9+$E$2,FALSE),"")</f>
        <v>30.030668369518938</v>
      </c>
      <c r="AS105" s="68">
        <f t="shared" si="8"/>
        <v>7.4268685762959308E-3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>
        <v>27.8</v>
      </c>
      <c r="AD106" s="66">
        <v>27.6</v>
      </c>
      <c r="AE106" s="66">
        <v>25.8</v>
      </c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21</v>
      </c>
      <c r="AQ106" s="68">
        <f t="shared" si="7"/>
        <v>26.457142857142859</v>
      </c>
      <c r="AR106" s="68">
        <f>IFERROR(VLOOKUP(A106,Climatologia_TMAX!A:U,9+$E$2,FALSE),"")</f>
        <v>25.412337253032469</v>
      </c>
      <c r="AS106" s="68">
        <f t="shared" si="8"/>
        <v>1.0448056041103904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>
        <v>31</v>
      </c>
      <c r="AD108" s="66">
        <v>30.6</v>
      </c>
      <c r="AE108" s="66">
        <v>32</v>
      </c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20</v>
      </c>
      <c r="AQ108" s="68">
        <f t="shared" si="7"/>
        <v>31.040000000000003</v>
      </c>
      <c r="AR108" s="68">
        <f>IFERROR(VLOOKUP(A108,Climatologia_TMAX!A:U,9+$E$2,FALSE),"")</f>
        <v>30.571207119021128</v>
      </c>
      <c r="AS108" s="68">
        <f t="shared" si="8"/>
        <v>0.46879288097887439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>
        <v>28</v>
      </c>
      <c r="AD109" s="66">
        <v>27.2</v>
      </c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20</v>
      </c>
      <c r="AQ109" s="68">
        <f t="shared" si="7"/>
        <v>26.630000000000003</v>
      </c>
      <c r="AR109" s="68">
        <f>IFERROR(VLOOKUP(A109,Climatologia_TMAX!A:U,9+$E$2,FALSE),"")</f>
        <v>25.742317801672641</v>
      </c>
      <c r="AS109" s="68">
        <f t="shared" si="8"/>
        <v>0.8876821983273615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>
        <v>38.200000000000003</v>
      </c>
      <c r="AD111" s="66">
        <v>39</v>
      </c>
      <c r="AE111" s="66">
        <v>38.6</v>
      </c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21</v>
      </c>
      <c r="AQ111" s="68">
        <f t="shared" si="7"/>
        <v>39.13333333333334</v>
      </c>
      <c r="AR111" s="68">
        <f>IFERROR(VLOOKUP(A111,Climatologia_TMAX!A:U,9+$E$2,FALSE),"")</f>
        <v>35.400483796811272</v>
      </c>
      <c r="AS111" s="68">
        <f t="shared" si="8"/>
        <v>3.7328495365220675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>
        <v>38.6</v>
      </c>
      <c r="AD112" s="66">
        <v>38.200000000000003</v>
      </c>
      <c r="AE112" s="66">
        <v>34.6</v>
      </c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20</v>
      </c>
      <c r="AQ112" s="68">
        <f t="shared" si="7"/>
        <v>36.839999999999996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-2.1999999999999957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>
        <v>35.4</v>
      </c>
      <c r="AD114" s="66">
        <v>36.6</v>
      </c>
      <c r="AE114" s="66">
        <v>37.200000000000003</v>
      </c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19</v>
      </c>
      <c r="AQ114" s="68">
        <f t="shared" si="7"/>
        <v>37.694736842105264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>
        <v>38.799999999999997</v>
      </c>
      <c r="AD115" s="66">
        <v>39.799999999999997</v>
      </c>
      <c r="AE115" s="66">
        <v>38.4</v>
      </c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21</v>
      </c>
      <c r="AQ115" s="68">
        <f t="shared" si="7"/>
        <v>37.995238095238086</v>
      </c>
      <c r="AR115" s="68">
        <f>IFERROR(VLOOKUP(A115,Climatologia_TMAX!A:U,9+$E$2,FALSE),"")</f>
        <v>35.599806409679189</v>
      </c>
      <c r="AS115" s="68">
        <f t="shared" si="8"/>
        <v>2.3954316855588971</v>
      </c>
      <c r="AT115" s="74">
        <f t="shared" si="9"/>
        <v>39.799999999999997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-1.6000000000000014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>
        <v>39.4</v>
      </c>
      <c r="AD118" s="66">
        <v>39.200000000000003</v>
      </c>
      <c r="AE118" s="66">
        <v>39</v>
      </c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21</v>
      </c>
      <c r="AQ118" s="68">
        <f t="shared" si="7"/>
        <v>38.314285714285717</v>
      </c>
      <c r="AR118" s="68">
        <f>IFERROR(VLOOKUP(A118,Climatologia_TMAX!A:U,9+$E$2,FALSE),"")</f>
        <v>34.447006277967013</v>
      </c>
      <c r="AS118" s="68">
        <f t="shared" si="8"/>
        <v>3.8672794363187037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>
        <v>37.799999999999997</v>
      </c>
      <c r="AD119" s="66">
        <v>39</v>
      </c>
      <c r="AE119" s="66">
        <v>39</v>
      </c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21</v>
      </c>
      <c r="AQ119" s="68">
        <f t="shared" si="7"/>
        <v>38.914285714285711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>
        <v>35</v>
      </c>
      <c r="AD120" s="66">
        <v>37</v>
      </c>
      <c r="AE120" s="66">
        <v>38</v>
      </c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20</v>
      </c>
      <c r="AQ120" s="68">
        <f t="shared" si="7"/>
        <v>38.630000000000003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>
        <v>33.4</v>
      </c>
      <c r="AD122" s="66">
        <v>33.200000000000003</v>
      </c>
      <c r="AE122" s="66">
        <v>31.2</v>
      </c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21</v>
      </c>
      <c r="AQ122" s="68">
        <f t="shared" si="7"/>
        <v>30.800000000000004</v>
      </c>
      <c r="AR122" s="68">
        <f>IFERROR(VLOOKUP(A122,Climatologia_TMAX!A:U,9+$E$2,FALSE),"")</f>
        <v>28.13354838709677</v>
      </c>
      <c r="AS122" s="68">
        <f t="shared" si="8"/>
        <v>2.6664516129032343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>
        <v>32.6</v>
      </c>
      <c r="AC123" s="66">
        <v>33.200000000000003</v>
      </c>
      <c r="AD123" s="66">
        <v>32.799999999999997</v>
      </c>
      <c r="AE123" s="66">
        <v>31.4</v>
      </c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21</v>
      </c>
      <c r="AQ123" s="68">
        <f t="shared" si="7"/>
        <v>32.095238095238102</v>
      </c>
      <c r="AR123" s="68">
        <f>IFERROR(VLOOKUP(A123,Climatologia_TMAX!A:U,9+$E$2,FALSE),"")</f>
        <v>29.851373954599769</v>
      </c>
      <c r="AS123" s="68">
        <f t="shared" si="8"/>
        <v>2.2438641406383333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>
        <v>34.200000000000003</v>
      </c>
      <c r="AD124" s="66">
        <v>32.799999999999997</v>
      </c>
      <c r="AE124" s="66">
        <v>32.200000000000003</v>
      </c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21</v>
      </c>
      <c r="AQ124" s="68">
        <f t="shared" si="7"/>
        <v>32.466666666666661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>
        <v>28.8</v>
      </c>
      <c r="AD127" s="66">
        <v>27</v>
      </c>
      <c r="AE127" s="66">
        <v>26.6</v>
      </c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18</v>
      </c>
      <c r="AQ127" s="68">
        <f t="shared" si="7"/>
        <v>26.5</v>
      </c>
      <c r="AR127" s="68">
        <f>IFERROR(VLOOKUP(A127,Climatologia_TMAX!A:U,9+$E$2,FALSE),"")</f>
        <v>23.873193546154688</v>
      </c>
      <c r="AS127" s="68">
        <f t="shared" si="8"/>
        <v>2.6268064538453118</v>
      </c>
      <c r="AT127" s="74">
        <f t="shared" si="9"/>
        <v>28.8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-0.80000000000000071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>
        <v>25</v>
      </c>
      <c r="AD128" s="66">
        <v>24.6</v>
      </c>
      <c r="AE128" s="66">
        <v>22</v>
      </c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21</v>
      </c>
      <c r="AQ128" s="68">
        <f t="shared" si="7"/>
        <v>23.123809523809523</v>
      </c>
      <c r="AR128" s="68">
        <f>IFERROR(VLOOKUP(A128,Climatologia_TMAX!A:U,9+$E$2,FALSE),"")</f>
        <v>19.945241107257019</v>
      </c>
      <c r="AS128" s="68">
        <f t="shared" si="8"/>
        <v>3.1785684165525048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>
        <v>26.6</v>
      </c>
      <c r="AD129" s="66">
        <v>26.4</v>
      </c>
      <c r="AE129" s="66">
        <v>25.2</v>
      </c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21</v>
      </c>
      <c r="AQ129" s="68">
        <f t="shared" si="7"/>
        <v>26.561904761904763</v>
      </c>
      <c r="AR129" s="68">
        <f>IFERROR(VLOOKUP(A129,Climatologia_TMAX!A:U,9+$E$2,FALSE),"")</f>
        <v>24.697992831541221</v>
      </c>
      <c r="AS129" s="68">
        <f t="shared" si="8"/>
        <v>1.8639119303635425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>
        <v>21.4</v>
      </c>
      <c r="AD131" s="66">
        <v>19.8</v>
      </c>
      <c r="AE131" s="66">
        <v>20.8</v>
      </c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17</v>
      </c>
      <c r="AQ131" s="68">
        <f t="shared" si="7"/>
        <v>20.776470588235295</v>
      </c>
      <c r="AR131" s="68">
        <f>IFERROR(VLOOKUP(A131,Climatologia_TMAX!A:U,9+$E$2,FALSE),"")</f>
        <v>20.475268817204299</v>
      </c>
      <c r="AS131" s="68">
        <f t="shared" si="8"/>
        <v>0.30120177103099621</v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>
        <v>17.600000000000001</v>
      </c>
      <c r="AD133" s="66">
        <v>18.2</v>
      </c>
      <c r="AE133" s="66">
        <v>18.2</v>
      </c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19</v>
      </c>
      <c r="AQ133" s="68">
        <f t="shared" ref="AQ133:AQ196" si="12">IF(AP133&gt;14,AVERAGE(K133:AO133),"")</f>
        <v>17.705263157894734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1.5351096112776332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>
        <v>23.4</v>
      </c>
      <c r="AD135" s="66">
        <v>24</v>
      </c>
      <c r="AE135" s="66">
        <v>22.4</v>
      </c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21</v>
      </c>
      <c r="AQ135" s="68">
        <f t="shared" si="12"/>
        <v>23.580952380952379</v>
      </c>
      <c r="AR135" s="68">
        <f>IFERROR(VLOOKUP(A135,Climatologia_TMAX!A:U,9+$E$2,FALSE),"")</f>
        <v>23.503001430160491</v>
      </c>
      <c r="AS135" s="68">
        <f t="shared" si="13"/>
        <v>7.7950950791887408E-2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>
        <v>23</v>
      </c>
      <c r="AD138" s="66">
        <v>22.9</v>
      </c>
      <c r="AE138" s="66">
        <v>22</v>
      </c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21</v>
      </c>
      <c r="AQ138" s="68">
        <f t="shared" si="12"/>
        <v>21.842857142857142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>
        <v>22.4</v>
      </c>
      <c r="AD139" s="66">
        <v>22</v>
      </c>
      <c r="AE139" s="66">
        <v>21.4</v>
      </c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21</v>
      </c>
      <c r="AQ139" s="68">
        <f t="shared" si="12"/>
        <v>21.680952380952377</v>
      </c>
      <c r="AR139" s="68">
        <f>IFERROR(VLOOKUP(A139,Climatologia_TMAX!A:U,9+$E$2,FALSE),"")</f>
        <v>20.714326639736161</v>
      </c>
      <c r="AS139" s="68">
        <f t="shared" si="13"/>
        <v>0.96662574121621603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>
        <v>23</v>
      </c>
      <c r="AD140" s="66">
        <v>22.2</v>
      </c>
      <c r="AE140" s="66">
        <v>22</v>
      </c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19</v>
      </c>
      <c r="AQ140" s="68">
        <f t="shared" si="12"/>
        <v>23.452631578947368</v>
      </c>
      <c r="AR140" s="68">
        <f>IFERROR(VLOOKUP(A140,Climatologia_TMAX!A:U,9+$E$2,FALSE),"")</f>
        <v>21.647136438274369</v>
      </c>
      <c r="AS140" s="68">
        <f t="shared" si="13"/>
        <v>1.8054951406729991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>
        <v>19.8</v>
      </c>
      <c r="AD141" s="66">
        <v>19</v>
      </c>
      <c r="AE141" s="66">
        <v>20.2</v>
      </c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21</v>
      </c>
      <c r="AQ141" s="68">
        <f t="shared" si="12"/>
        <v>19.61904761904762</v>
      </c>
      <c r="AR141" s="68">
        <f>IFERROR(VLOOKUP(A141,Climatologia_TMAX!A:U,9+$E$2,FALSE),"")</f>
        <v>18.072580645161288</v>
      </c>
      <c r="AS141" s="68">
        <f t="shared" si="13"/>
        <v>1.5464669738863321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>
        <v>19.600000000000001</v>
      </c>
      <c r="AD142" s="66">
        <v>17</v>
      </c>
      <c r="AE142" s="66">
        <v>17.399999999999999</v>
      </c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21</v>
      </c>
      <c r="AQ142" s="68">
        <f t="shared" si="12"/>
        <v>18.390476190476193</v>
      </c>
      <c r="AR142" s="68">
        <f>IFERROR(VLOOKUP(A142,Climatologia_TMAX!A:U,9+$E$2,FALSE),"")</f>
        <v>17.502950587315588</v>
      </c>
      <c r="AS142" s="68">
        <f t="shared" si="13"/>
        <v>0.88752560316060425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>
        <v>31.2</v>
      </c>
      <c r="AC143" s="66"/>
      <c r="AD143" s="66">
        <v>31</v>
      </c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32.506666666666668</v>
      </c>
      <c r="AR143" s="68">
        <f>IFERROR(VLOOKUP(A143,Climatologia_TMAX!A:U,9+$E$2,FALSE),"")</f>
        <v>30.587147942157952</v>
      </c>
      <c r="AS143" s="68">
        <f t="shared" si="13"/>
        <v>1.9195187245087162</v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>
        <v>23</v>
      </c>
      <c r="AD145" s="66">
        <v>22</v>
      </c>
      <c r="AE145" s="66">
        <v>18.399999999999999</v>
      </c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3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>
        <f t="shared" si="14"/>
        <v>23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>
        <v>22.4</v>
      </c>
      <c r="AD146" s="66">
        <v>21.4</v>
      </c>
      <c r="AE146" s="66">
        <v>22.6</v>
      </c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21</v>
      </c>
      <c r="AQ146" s="68">
        <f t="shared" si="12"/>
        <v>21.666666666666668</v>
      </c>
      <c r="AR146" s="68">
        <f>IFERROR(VLOOKUP(A146,Climatologia_TMAX!A:U,9+$E$2,FALSE),"")</f>
        <v>21.065636230144019</v>
      </c>
      <c r="AS146" s="68">
        <f t="shared" si="13"/>
        <v>0.60103043652264887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>
        <v>22.6</v>
      </c>
      <c r="AD147" s="66">
        <v>23.2</v>
      </c>
      <c r="AE147" s="66">
        <v>21</v>
      </c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19</v>
      </c>
      <c r="AQ147" s="68">
        <f t="shared" si="12"/>
        <v>21.778947368421054</v>
      </c>
      <c r="AR147" s="68">
        <f>IFERROR(VLOOKUP(A147,Climatologia_TMAX!A:U,9+$E$2,FALSE),"")</f>
        <v>21.75379211469534</v>
      </c>
      <c r="AS147" s="68">
        <f t="shared" si="13"/>
        <v>2.5155253725714033E-2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>
        <v>28.4</v>
      </c>
      <c r="AD148" s="66">
        <v>26.4</v>
      </c>
      <c r="AE148" s="66">
        <v>27.2</v>
      </c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20</v>
      </c>
      <c r="AQ148" s="68">
        <f t="shared" si="12"/>
        <v>26.549999999999994</v>
      </c>
      <c r="AR148" s="68">
        <f>IFERROR(VLOOKUP(A148,Climatologia_TMAX!A:U,9+$E$2,FALSE),"")</f>
        <v>25.418951612903221</v>
      </c>
      <c r="AS148" s="68">
        <f t="shared" si="13"/>
        <v>1.1310483870967722</v>
      </c>
      <c r="AT148" s="74">
        <f t="shared" si="14"/>
        <v>28.4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-2.4000000000000021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>
        <v>35.200000000000003</v>
      </c>
      <c r="AD151" s="66">
        <v>35.4</v>
      </c>
      <c r="AE151" s="66">
        <v>34</v>
      </c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20</v>
      </c>
      <c r="AQ151" s="68">
        <f t="shared" si="12"/>
        <v>34.33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>
        <v>21.6</v>
      </c>
      <c r="AD153" s="66">
        <v>21</v>
      </c>
      <c r="AE153" s="66">
        <v>21.4</v>
      </c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21</v>
      </c>
      <c r="AQ153" s="68">
        <f t="shared" si="12"/>
        <v>20.771428571428572</v>
      </c>
      <c r="AR153" s="68">
        <f>IFERROR(VLOOKUP(A153,Climatologia_TMAX!A:U,9+$E$2,FALSE),"")</f>
        <v>17.087318670151451</v>
      </c>
      <c r="AS153" s="68">
        <f t="shared" si="13"/>
        <v>3.6841099012771217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>
        <v>18.8</v>
      </c>
      <c r="AD154" s="66">
        <v>18.600000000000001</v>
      </c>
      <c r="AE154" s="66">
        <v>18</v>
      </c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21</v>
      </c>
      <c r="AQ154" s="68">
        <f t="shared" si="12"/>
        <v>18.952380952380953</v>
      </c>
      <c r="AR154" s="68">
        <f>IFERROR(VLOOKUP(A154,Climatologia_TMAX!A:U,9+$E$2,FALSE),"")</f>
        <v>17.894822708653351</v>
      </c>
      <c r="AS154" s="68">
        <f t="shared" si="13"/>
        <v>1.0575582437276019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>
        <v>21.4</v>
      </c>
      <c r="AD156" s="66">
        <v>22.2</v>
      </c>
      <c r="AE156" s="66">
        <v>21.8</v>
      </c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21</v>
      </c>
      <c r="AQ156" s="68">
        <f t="shared" si="12"/>
        <v>21.43809523809524</v>
      </c>
      <c r="AR156" s="68">
        <f>IFERROR(VLOOKUP(A156,Climatologia_TMAX!A:U,9+$E$2,FALSE),"")</f>
        <v>19.9787274899533</v>
      </c>
      <c r="AS156" s="68">
        <f t="shared" si="13"/>
        <v>1.4593677481419398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>
        <v>25</v>
      </c>
      <c r="AD158" s="66">
        <v>24.2</v>
      </c>
      <c r="AE158" s="66">
        <v>22.4</v>
      </c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21</v>
      </c>
      <c r="AQ158" s="68">
        <f t="shared" si="12"/>
        <v>23.752380952380953</v>
      </c>
      <c r="AR158" s="68">
        <f>IFERROR(VLOOKUP(A158,Climatologia_TMAX!A:U,9+$E$2,FALSE),"")</f>
        <v>22.279202508960569</v>
      </c>
      <c r="AS158" s="68">
        <f t="shared" si="13"/>
        <v>1.4731784434203838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>
        <v>32</v>
      </c>
      <c r="AD160" s="66">
        <v>32</v>
      </c>
      <c r="AE160" s="66">
        <v>32.799999999999997</v>
      </c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21</v>
      </c>
      <c r="AQ160" s="68">
        <f t="shared" si="12"/>
        <v>31.447619047619053</v>
      </c>
      <c r="AR160" s="68">
        <f>IFERROR(VLOOKUP(A160,Climatologia_TMAX!A:U,9+$E$2,FALSE),"")</f>
        <v>29.899582174638489</v>
      </c>
      <c r="AS160" s="68">
        <f t="shared" si="13"/>
        <v>1.548036872980564</v>
      </c>
      <c r="AT160" s="74">
        <f t="shared" si="14"/>
        <v>33.200000000000003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>
        <v>17.2</v>
      </c>
      <c r="AD164" s="66">
        <v>15</v>
      </c>
      <c r="AE164" s="66">
        <v>18.2</v>
      </c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21</v>
      </c>
      <c r="AQ164" s="68">
        <f t="shared" si="12"/>
        <v>16.961904761904758</v>
      </c>
      <c r="AR164" s="68">
        <f>IFERROR(VLOOKUP(A164,Climatologia_TMAX!A:U,9+$E$2,FALSE),"")</f>
        <v>16.438135408145051</v>
      </c>
      <c r="AS164" s="68">
        <f t="shared" si="13"/>
        <v>0.52376935375970746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>
        <v>10.4</v>
      </c>
      <c r="AE165" s="66">
        <v>13</v>
      </c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20</v>
      </c>
      <c r="AQ165" s="68">
        <f t="shared" si="12"/>
        <v>13.379999999999999</v>
      </c>
      <c r="AR165" s="68">
        <f>IFERROR(VLOOKUP(A165,Climatologia_TMAX!A:U,9+$E$2,FALSE),"")</f>
        <v>13.11626251390434</v>
      </c>
      <c r="AS165" s="68">
        <f t="shared" si="13"/>
        <v>0.26373748609565872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>
        <v>14.4</v>
      </c>
      <c r="AD166" s="66">
        <v>14</v>
      </c>
      <c r="AE166" s="66">
        <v>15.6</v>
      </c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21</v>
      </c>
      <c r="AQ166" s="68">
        <f t="shared" si="12"/>
        <v>14.457142857142859</v>
      </c>
      <c r="AR166" s="68">
        <f>IFERROR(VLOOKUP(A166,Climatologia_TMAX!A:U,9+$E$2,FALSE),"")</f>
        <v>14.28566120241295</v>
      </c>
      <c r="AS166" s="68">
        <f t="shared" si="13"/>
        <v>0.17148165472990939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>
        <v>18.399999999999999</v>
      </c>
      <c r="AD167" s="66">
        <v>14.2</v>
      </c>
      <c r="AE167" s="66">
        <v>17</v>
      </c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21</v>
      </c>
      <c r="AQ167" s="68">
        <f t="shared" si="12"/>
        <v>16.61428571428571</v>
      </c>
      <c r="AR167" s="68">
        <f>IFERROR(VLOOKUP(A167,Climatologia_TMAX!A:U,9+$E$2,FALSE),"")</f>
        <v>15.33697398819201</v>
      </c>
      <c r="AS167" s="68">
        <f t="shared" si="13"/>
        <v>1.2773117260936999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>
        <v>23.6</v>
      </c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19</v>
      </c>
      <c r="AQ168" s="68">
        <f t="shared" si="12"/>
        <v>22.263157894736842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>
        <v>25.6</v>
      </c>
      <c r="AD172" s="66">
        <v>23</v>
      </c>
      <c r="AE172" s="66">
        <v>24.2</v>
      </c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21</v>
      </c>
      <c r="AQ172" s="68">
        <f t="shared" si="12"/>
        <v>24.047619047619051</v>
      </c>
      <c r="AR172" s="68">
        <f>IFERROR(VLOOKUP(A172,Climatologia_TMAX!A:U,9+$E$2,FALSE),"")</f>
        <v>21.606312954104371</v>
      </c>
      <c r="AS172" s="68">
        <f t="shared" si="13"/>
        <v>2.4413060935146795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>
        <v>17.2</v>
      </c>
      <c r="AD173" s="66">
        <v>18.399999999999999</v>
      </c>
      <c r="AE173" s="66">
        <v>18.8</v>
      </c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20</v>
      </c>
      <c r="AQ173" s="68">
        <f t="shared" si="12"/>
        <v>18.539999999999996</v>
      </c>
      <c r="AR173" s="68">
        <f>IFERROR(VLOOKUP(A173,Climatologia_TMAX!A:U,9+$E$2,FALSE),"")</f>
        <v>19.144848035988591</v>
      </c>
      <c r="AS173" s="68">
        <f t="shared" si="13"/>
        <v>-0.60484803598859571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>
        <v>16.8</v>
      </c>
      <c r="AD175" s="66">
        <v>16.399999999999999</v>
      </c>
      <c r="AE175" s="66">
        <v>17.600000000000001</v>
      </c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21</v>
      </c>
      <c r="AQ175" s="68">
        <f t="shared" si="12"/>
        <v>17.2</v>
      </c>
      <c r="AR175" s="68">
        <f>IFERROR(VLOOKUP(A175,Climatologia_TMAX!A:U,9+$E$2,FALSE),"")</f>
        <v>16.77337009846331</v>
      </c>
      <c r="AS175" s="68">
        <f t="shared" si="13"/>
        <v>0.426629901536689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>
        <v>20.6</v>
      </c>
      <c r="AD176" s="66">
        <v>20.3</v>
      </c>
      <c r="AE176" s="66">
        <v>20.7</v>
      </c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21</v>
      </c>
      <c r="AQ176" s="68">
        <f t="shared" si="12"/>
        <v>19.923809523809524</v>
      </c>
      <c r="AR176" s="68">
        <f>IFERROR(VLOOKUP(A176,Climatologia_TMAX!A:U,9+$E$2,FALSE),"")</f>
        <v>18.929410456062289</v>
      </c>
      <c r="AS176" s="68">
        <f t="shared" si="13"/>
        <v>0.99439906774723497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>
        <v>28.2</v>
      </c>
      <c r="AC180" s="66">
        <v>26.4</v>
      </c>
      <c r="AD180" s="66">
        <v>25.2</v>
      </c>
      <c r="AE180" s="66">
        <v>24.6</v>
      </c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21</v>
      </c>
      <c r="AQ180" s="68">
        <f t="shared" si="12"/>
        <v>24.49523809523809</v>
      </c>
      <c r="AR180" s="68">
        <f>IFERROR(VLOOKUP(A180,Climatologia_TMAX!A:U,9+$E$2,FALSE),"")</f>
        <v>22.045425414753339</v>
      </c>
      <c r="AS180" s="68">
        <f t="shared" si="13"/>
        <v>2.4498126804847509</v>
      </c>
      <c r="AT180" s="74">
        <f t="shared" si="14"/>
        <v>28.2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0.80000000000000071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>
        <v>19.100000000000001</v>
      </c>
      <c r="AD181" s="66">
        <v>17</v>
      </c>
      <c r="AE181" s="66">
        <v>19.8</v>
      </c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21</v>
      </c>
      <c r="AQ181" s="68">
        <f t="shared" si="12"/>
        <v>18.37619047619048</v>
      </c>
      <c r="AR181" s="68">
        <f>IFERROR(VLOOKUP(A181,Climatologia_TMAX!A:U,9+$E$2,FALSE),"")</f>
        <v>17.645817781073621</v>
      </c>
      <c r="AS181" s="68">
        <f t="shared" si="13"/>
        <v>0.73037269511685921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>
        <v>28</v>
      </c>
      <c r="AD182" s="66">
        <v>28.8</v>
      </c>
      <c r="AE182" s="66">
        <v>30.4</v>
      </c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20</v>
      </c>
      <c r="AQ182" s="68">
        <f t="shared" si="12"/>
        <v>27.169999999999998</v>
      </c>
      <c r="AR182" s="68">
        <f>IFERROR(VLOOKUP(A182,Climatologia_TMAX!A:U,9+$E$2,FALSE),"")</f>
        <v>25.244773595756431</v>
      </c>
      <c r="AS182" s="68">
        <f t="shared" si="13"/>
        <v>1.9252264042435669</v>
      </c>
      <c r="AT182" s="74">
        <f t="shared" si="14"/>
        <v>30.4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0.59999999999999787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>
        <v>31.4</v>
      </c>
      <c r="AD183" s="66">
        <v>30</v>
      </c>
      <c r="AE183" s="66">
        <v>30.8</v>
      </c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21</v>
      </c>
      <c r="AQ183" s="68">
        <f t="shared" si="12"/>
        <v>29.780952380952378</v>
      </c>
      <c r="AR183" s="68">
        <f>IFERROR(VLOOKUP(A183,Climatologia_TMAX!A:U,9+$E$2,FALSE),"")</f>
        <v>27.239077646938501</v>
      </c>
      <c r="AS183" s="68">
        <f t="shared" si="13"/>
        <v>2.5418747340138772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>
        <v>17.2</v>
      </c>
      <c r="AD184" s="66">
        <v>15.2</v>
      </c>
      <c r="AE184" s="66">
        <v>17.600000000000001</v>
      </c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21</v>
      </c>
      <c r="AQ184" s="68">
        <f t="shared" si="12"/>
        <v>16.523809523809526</v>
      </c>
      <c r="AR184" s="68">
        <f>IFERROR(VLOOKUP(A184,Climatologia_TMAX!A:U,9+$E$2,FALSE),"")</f>
        <v>14.56273340748981</v>
      </c>
      <c r="AS184" s="68">
        <f t="shared" si="13"/>
        <v>1.961076116319715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>
        <v>32</v>
      </c>
      <c r="AB185" s="66">
        <v>29.6</v>
      </c>
      <c r="AC185" s="66">
        <v>31.8</v>
      </c>
      <c r="AD185" s="66">
        <v>32</v>
      </c>
      <c r="AE185" s="66">
        <v>32.799999999999997</v>
      </c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19</v>
      </c>
      <c r="AQ185" s="68">
        <f t="shared" si="12"/>
        <v>32.147368421052626</v>
      </c>
      <c r="AR185" s="68">
        <f>IFERROR(VLOOKUP(A185,Climatologia_TMAX!A:U,9+$E$2,FALSE),"")</f>
        <v>28.271515834024871</v>
      </c>
      <c r="AS185" s="68">
        <f t="shared" si="13"/>
        <v>3.8758525870277545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>
        <v>31.4</v>
      </c>
      <c r="AD186" s="66">
        <v>30.4</v>
      </c>
      <c r="AE186" s="66">
        <v>30.2</v>
      </c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21</v>
      </c>
      <c r="AQ186" s="68">
        <f t="shared" si="12"/>
        <v>30.285714285714292</v>
      </c>
      <c r="AR186" s="68">
        <f>IFERROR(VLOOKUP(A186,Climatologia_TMAX!A:U,9+$E$2,FALSE),"")</f>
        <v>28.080800691244239</v>
      </c>
      <c r="AS186" s="68">
        <f t="shared" si="13"/>
        <v>2.2049135944700531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>
        <v>29.8</v>
      </c>
      <c r="AD187" s="66">
        <v>29.4</v>
      </c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18</v>
      </c>
      <c r="AQ187" s="68">
        <f t="shared" si="12"/>
        <v>26.977777777777774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0.40000000000000213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>
        <v>14.4</v>
      </c>
      <c r="AD188" s="66">
        <v>14</v>
      </c>
      <c r="AE188" s="66">
        <v>12.2</v>
      </c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21</v>
      </c>
      <c r="AQ188" s="68">
        <f t="shared" si="12"/>
        <v>13.466666666666665</v>
      </c>
      <c r="AR188" s="68">
        <f>IFERROR(VLOOKUP(A188,Climatologia_TMAX!A:U,9+$E$2,FALSE),"")</f>
        <v>13.20223385477499</v>
      </c>
      <c r="AS188" s="68">
        <f t="shared" si="13"/>
        <v>0.264432811891675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>
        <v>38</v>
      </c>
      <c r="AD191" s="66">
        <v>36.200000000000003</v>
      </c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20</v>
      </c>
      <c r="AQ191" s="68">
        <f t="shared" si="12"/>
        <v>36.700000000000003</v>
      </c>
      <c r="AR191" s="68">
        <f>IFERROR(VLOOKUP(A191,Climatologia_TMAX!A:U,9+$E$2,FALSE),"")</f>
        <v>34.386602574288887</v>
      </c>
      <c r="AS191" s="68">
        <f t="shared" si="13"/>
        <v>2.3133974257111163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>
        <v>30.6</v>
      </c>
      <c r="AD192" s="66">
        <v>32.799999999999997</v>
      </c>
      <c r="AE192" s="66">
        <v>31.6</v>
      </c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21</v>
      </c>
      <c r="AQ192" s="68">
        <f t="shared" si="12"/>
        <v>31.761904761904763</v>
      </c>
      <c r="AR192" s="68">
        <f>IFERROR(VLOOKUP(A192,Climatologia_TMAX!A:U,9+$E$2,FALSE),"")</f>
        <v>30.53754007980649</v>
      </c>
      <c r="AS192" s="68">
        <f t="shared" si="13"/>
        <v>1.2243646820982725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>
        <v>34.6</v>
      </c>
      <c r="AD193" s="66">
        <v>35.799999999999997</v>
      </c>
      <c r="AE193" s="66">
        <v>34</v>
      </c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21</v>
      </c>
      <c r="AQ193" s="68">
        <f t="shared" si="12"/>
        <v>35.076190476190476</v>
      </c>
      <c r="AR193" s="68">
        <f>IFERROR(VLOOKUP(A193,Climatologia_TMAX!A:U,9+$E$2,FALSE),"")</f>
        <v>32.604882188186302</v>
      </c>
      <c r="AS193" s="68">
        <f t="shared" si="13"/>
        <v>2.4713082880041739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>
        <v>35.200000000000003</v>
      </c>
      <c r="AD194" s="66">
        <v>36.200000000000003</v>
      </c>
      <c r="AE194" s="66">
        <v>35.6</v>
      </c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21</v>
      </c>
      <c r="AQ194" s="68">
        <f t="shared" si="12"/>
        <v>36.352380952380955</v>
      </c>
      <c r="AR194" s="68">
        <f>IFERROR(VLOOKUP(A194,Climatologia_TMAX!A:U,9+$E$2,FALSE),"")</f>
        <v>33.982628113224877</v>
      </c>
      <c r="AS194" s="68">
        <f t="shared" si="13"/>
        <v>2.369752839156078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>
        <v>35.4</v>
      </c>
      <c r="AD197" s="66">
        <v>36.200000000000003</v>
      </c>
      <c r="AE197" s="66">
        <v>35.4</v>
      </c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17</v>
      </c>
      <c r="AQ197" s="68">
        <f t="shared" ref="AQ197:AQ260" si="17">IF(AP197&gt;14,AVERAGE(K197:AO197),"")</f>
        <v>36.000000000000007</v>
      </c>
      <c r="AR197" s="68">
        <f>IFERROR(VLOOKUP(A197,Climatologia_TMAX!A:U,9+$E$2,FALSE),"")</f>
        <v>33.32113210309651</v>
      </c>
      <c r="AS197" s="68">
        <f t="shared" ref="AS197:AS260" si="18">IF(OR(AQ197="",AR197=""),"",IFERROR(AQ197-AR197,""))</f>
        <v>2.6788678969034976</v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>
        <v>35</v>
      </c>
      <c r="AD199" s="66">
        <v>36.200000000000003</v>
      </c>
      <c r="AE199" s="66">
        <v>34.4</v>
      </c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21</v>
      </c>
      <c r="AQ199" s="68">
        <f t="shared" si="17"/>
        <v>35.790476190476191</v>
      </c>
      <c r="AR199" s="68">
        <f>IFERROR(VLOOKUP(A199,Climatologia_TMAX!A:U,9+$E$2,FALSE),"")</f>
        <v>32.492888905936347</v>
      </c>
      <c r="AS199" s="68">
        <f t="shared" si="18"/>
        <v>3.2975872845398442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>
        <v>20</v>
      </c>
      <c r="AD200" s="66">
        <v>19.8</v>
      </c>
      <c r="AE200" s="66">
        <v>20</v>
      </c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21</v>
      </c>
      <c r="AQ200" s="68">
        <f t="shared" si="17"/>
        <v>19.076190476190476</v>
      </c>
      <c r="AR200" s="68">
        <f>IFERROR(VLOOKUP(A200,Climatologia_TMAX!A:U,9+$E$2,FALSE),"")</f>
        <v>17.735029868578259</v>
      </c>
      <c r="AS200" s="68">
        <f t="shared" si="18"/>
        <v>1.3411606076122169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>
        <v>24</v>
      </c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18</v>
      </c>
      <c r="AQ201" s="68">
        <f t="shared" si="17"/>
        <v>24.944444444444443</v>
      </c>
      <c r="AR201" s="68">
        <f>IFERROR(VLOOKUP(A201,Climatologia_TMAX!A:U,9+$E$2,FALSE),"")</f>
        <v>22.75197498391692</v>
      </c>
      <c r="AS201" s="68">
        <f t="shared" si="18"/>
        <v>2.1924694605275228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>
        <v>21.2</v>
      </c>
      <c r="AD203" s="66">
        <v>21.8</v>
      </c>
      <c r="AE203" s="66">
        <v>21.6</v>
      </c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21</v>
      </c>
      <c r="AQ203" s="68">
        <f t="shared" si="17"/>
        <v>20.885714285714286</v>
      </c>
      <c r="AR203" s="68">
        <f>IFERROR(VLOOKUP(A203,Climatologia_TMAX!A:U,9+$E$2,FALSE),"")</f>
        <v>19.985882256004611</v>
      </c>
      <c r="AS203" s="68">
        <f t="shared" si="18"/>
        <v>0.89983202970967469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>
        <v>29.2</v>
      </c>
      <c r="AD205" s="66">
        <v>29.2</v>
      </c>
      <c r="AE205" s="66">
        <v>28</v>
      </c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21</v>
      </c>
      <c r="AQ205" s="68">
        <f t="shared" si="17"/>
        <v>28.533333333333335</v>
      </c>
      <c r="AR205" s="68">
        <f>IFERROR(VLOOKUP(A205,Climatologia_TMAX!A:U,9+$E$2,FALSE),"")</f>
        <v>26.486742471058381</v>
      </c>
      <c r="AS205" s="68">
        <f t="shared" si="18"/>
        <v>2.0465908622749538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>
        <v>30.4</v>
      </c>
      <c r="AC208" s="66">
        <v>34.4</v>
      </c>
      <c r="AD208" s="66">
        <v>35.4</v>
      </c>
      <c r="AE208" s="66">
        <v>32.799999999999997</v>
      </c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20</v>
      </c>
      <c r="AQ208" s="68">
        <f t="shared" si="17"/>
        <v>33.899999999999991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>
        <v>28</v>
      </c>
      <c r="AD209" s="66">
        <v>24.6</v>
      </c>
      <c r="AE209" s="66">
        <v>24</v>
      </c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21</v>
      </c>
      <c r="AQ209" s="68">
        <f t="shared" si="17"/>
        <v>24.866666666666667</v>
      </c>
      <c r="AR209" s="68">
        <f>IFERROR(VLOOKUP(A209,Climatologia_TMAX!A:U,9+$E$2,FALSE),"")</f>
        <v>24.015476455320719</v>
      </c>
      <c r="AS209" s="68">
        <f t="shared" si="18"/>
        <v>0.85119021134594774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>
        <v>33.4</v>
      </c>
      <c r="AD210" s="66">
        <v>30.8</v>
      </c>
      <c r="AE210" s="66">
        <v>31.6</v>
      </c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21</v>
      </c>
      <c r="AQ210" s="68">
        <f t="shared" si="17"/>
        <v>31.552380952380954</v>
      </c>
      <c r="AR210" s="68">
        <f>IFERROR(VLOOKUP(A210,Climatologia_TMAX!A:U,9+$E$2,FALSE),"")</f>
        <v>29.654423963133631</v>
      </c>
      <c r="AS210" s="68">
        <f t="shared" si="18"/>
        <v>1.8979569892473229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>
        <v>32</v>
      </c>
      <c r="AD214" s="66">
        <v>29.2</v>
      </c>
      <c r="AE214" s="66">
        <v>27</v>
      </c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21</v>
      </c>
      <c r="AQ214" s="68">
        <f t="shared" si="17"/>
        <v>30.609523809523814</v>
      </c>
      <c r="AR214" s="68">
        <f>IFERROR(VLOOKUP(A214,Climatologia_TMAX!A:U,9+$E$2,FALSE),"")</f>
        <v>29.107319792911181</v>
      </c>
      <c r="AS214" s="68">
        <f t="shared" si="18"/>
        <v>1.5022040166126338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>
        <v>27.4</v>
      </c>
      <c r="AD216" s="66">
        <v>28</v>
      </c>
      <c r="AE216" s="66">
        <v>26.8</v>
      </c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21</v>
      </c>
      <c r="AQ216" s="68">
        <f t="shared" si="17"/>
        <v>27.971428571428564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>
        <v>26.6</v>
      </c>
      <c r="AD217" s="66">
        <v>26.8</v>
      </c>
      <c r="AE217" s="66">
        <v>26.4</v>
      </c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21</v>
      </c>
      <c r="AQ217" s="68">
        <f t="shared" si="17"/>
        <v>26.457142857142859</v>
      </c>
      <c r="AR217" s="68">
        <f>IFERROR(VLOOKUP(A217,Climatologia_TMAX!A:U,9+$E$2,FALSE),"")</f>
        <v>23.98799853208218</v>
      </c>
      <c r="AS217" s="68">
        <f t="shared" si="18"/>
        <v>2.4691443250606788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>
        <v>18.600000000000001</v>
      </c>
      <c r="AD221" s="66">
        <v>19</v>
      </c>
      <c r="AE221" s="66">
        <v>18.8</v>
      </c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19</v>
      </c>
      <c r="AQ221" s="68">
        <f t="shared" si="17"/>
        <v>17.863157894736844</v>
      </c>
      <c r="AR221" s="68">
        <f>IFERROR(VLOOKUP(A221,Climatologia_TMAX!A:U,9+$E$2,FALSE),"")</f>
        <v>15.966759634455681</v>
      </c>
      <c r="AS221" s="68">
        <f t="shared" si="18"/>
        <v>1.8963982602811633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>
        <v>26.2</v>
      </c>
      <c r="AD222" s="66">
        <v>26.4</v>
      </c>
      <c r="AE222" s="66">
        <v>25</v>
      </c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21</v>
      </c>
      <c r="AQ222" s="68">
        <f t="shared" si="17"/>
        <v>24.771428571428569</v>
      </c>
      <c r="AR222" s="68">
        <f>IFERROR(VLOOKUP(A222,Climatologia_TMAX!A:U,9+$E$2,FALSE),"")</f>
        <v>22.71125914315569</v>
      </c>
      <c r="AS222" s="68">
        <f t="shared" si="18"/>
        <v>2.0601694282728786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>
        <v>32.6</v>
      </c>
      <c r="AD224" s="66">
        <v>35.200000000000003</v>
      </c>
      <c r="AE224" s="66">
        <v>33.799999999999997</v>
      </c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21</v>
      </c>
      <c r="AQ224" s="68">
        <f t="shared" si="17"/>
        <v>32.799999999999997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>
        <v>32.200000000000003</v>
      </c>
      <c r="AD231" s="66">
        <v>34</v>
      </c>
      <c r="AE231" s="66">
        <v>33.200000000000003</v>
      </c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21</v>
      </c>
      <c r="AQ231" s="68">
        <f t="shared" si="17"/>
        <v>32.085714285714289</v>
      </c>
      <c r="AR231" s="68">
        <f>IFERROR(VLOOKUP(A231,Climatologia_TMAX!A:U,9+$E$2,FALSE),"")</f>
        <v>30.333152235427281</v>
      </c>
      <c r="AS231" s="68">
        <f t="shared" si="18"/>
        <v>1.7525620502870076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>
        <v>33.200000000000003</v>
      </c>
      <c r="AD235" s="66">
        <v>35</v>
      </c>
      <c r="AE235" s="66">
        <v>33.4</v>
      </c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21</v>
      </c>
      <c r="AQ235" s="68">
        <f t="shared" si="17"/>
        <v>32.399999999999991</v>
      </c>
      <c r="AR235" s="68">
        <f>IFERROR(VLOOKUP(A235,Climatologia_TMAX!A:U,9+$E$2,FALSE),"")</f>
        <v>30.387096774193552</v>
      </c>
      <c r="AS235" s="68">
        <f t="shared" si="18"/>
        <v>2.0129032258064399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>
        <v>34</v>
      </c>
      <c r="N238" s="66">
        <v>31</v>
      </c>
      <c r="O238" s="66">
        <v>28.6</v>
      </c>
      <c r="P238" s="66">
        <v>34.200000000000003</v>
      </c>
      <c r="Q238" s="66">
        <v>32</v>
      </c>
      <c r="R238" s="66">
        <v>28.6</v>
      </c>
      <c r="S238" s="66">
        <v>30.2</v>
      </c>
      <c r="T238" s="66">
        <v>31.2</v>
      </c>
      <c r="U238" s="66">
        <v>33.200000000000003</v>
      </c>
      <c r="V238" s="66">
        <v>29</v>
      </c>
      <c r="W238" s="66">
        <v>31.2</v>
      </c>
      <c r="X238" s="66">
        <v>32</v>
      </c>
      <c r="Y238" s="66">
        <v>29</v>
      </c>
      <c r="Z238" s="66">
        <v>30</v>
      </c>
      <c r="AA238" s="66">
        <v>28.2</v>
      </c>
      <c r="AB238" s="66">
        <v>31.2</v>
      </c>
      <c r="AC238" s="66">
        <v>28.4</v>
      </c>
      <c r="AD238" s="66">
        <v>32.4</v>
      </c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20</v>
      </c>
      <c r="AQ238" s="68">
        <f t="shared" si="17"/>
        <v>31.02</v>
      </c>
      <c r="AR238" s="68">
        <f>IFERROR(VLOOKUP(A238,Climatologia_TMAX!A:U,9+$E$2,FALSE),"")</f>
        <v>30.317402116402121</v>
      </c>
      <c r="AS238" s="68">
        <f t="shared" si="18"/>
        <v>0.70259788359787834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>
        <v>28.2</v>
      </c>
      <c r="AD244" s="66">
        <v>28.6</v>
      </c>
      <c r="AE244" s="66">
        <v>30</v>
      </c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20</v>
      </c>
      <c r="AQ244" s="68">
        <f t="shared" si="17"/>
        <v>27.909999999999997</v>
      </c>
      <c r="AR244" s="68">
        <f>IFERROR(VLOOKUP(A244,Climatologia_TMAX!A:U,9+$E$2,FALSE),"")</f>
        <v>25.772090800477901</v>
      </c>
      <c r="AS244" s="68">
        <f t="shared" si="18"/>
        <v>2.1379091995220953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>
        <v>36</v>
      </c>
      <c r="AD246" s="66">
        <v>35.4</v>
      </c>
      <c r="AE246" s="66">
        <v>34.200000000000003</v>
      </c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21</v>
      </c>
      <c r="AQ246" s="68">
        <f t="shared" si="17"/>
        <v>33.55238095238095</v>
      </c>
      <c r="AR246" s="68">
        <f>IFERROR(VLOOKUP(A246,Climatologia_TMAX!A:U,9+$E$2,FALSE),"")</f>
        <v>30.365280795815501</v>
      </c>
      <c r="AS246" s="68">
        <f t="shared" si="18"/>
        <v>3.1871001565654495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>
        <v>40.6</v>
      </c>
      <c r="AD247" s="66">
        <v>40.200000000000003</v>
      </c>
      <c r="AE247" s="66">
        <v>39.200000000000003</v>
      </c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20</v>
      </c>
      <c r="AQ247" s="68">
        <f t="shared" si="17"/>
        <v>37.820000000000007</v>
      </c>
      <c r="AR247" s="68">
        <f>IFERROR(VLOOKUP(A247,Climatologia_TMAX!A:U,9+$E$2,FALSE),"")</f>
        <v>35.840573622107357</v>
      </c>
      <c r="AS247" s="68">
        <f t="shared" si="18"/>
        <v>1.9794263778926506</v>
      </c>
      <c r="AT247" s="74">
        <f t="shared" si="19"/>
        <v>40.6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>
        <v>39</v>
      </c>
      <c r="AD248" s="66">
        <v>38.799999999999997</v>
      </c>
      <c r="AE248" s="66">
        <v>37.6</v>
      </c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21</v>
      </c>
      <c r="AQ248" s="68">
        <f t="shared" si="17"/>
        <v>36.647619047619045</v>
      </c>
      <c r="AR248" s="68">
        <f>IFERROR(VLOOKUP(A248,Climatologia_TMAX!A:U,9+$E$2,FALSE),"")</f>
        <v>34.327826313407613</v>
      </c>
      <c r="AS248" s="68">
        <f t="shared" si="18"/>
        <v>2.3197927342114326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>
        <v>30.4</v>
      </c>
      <c r="AD249" s="66">
        <v>32.6</v>
      </c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20</v>
      </c>
      <c r="AQ249" s="68">
        <f t="shared" si="17"/>
        <v>31.68</v>
      </c>
      <c r="AR249" s="68">
        <f>IFERROR(VLOOKUP(A249,Climatologia_TMAX!A:U,9+$E$2,FALSE),"")</f>
        <v>31.369964157706089</v>
      </c>
      <c r="AS249" s="68">
        <f t="shared" si="18"/>
        <v>0.31003584229391024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>
        <v>40.799999999999997</v>
      </c>
      <c r="AD250" s="66">
        <v>39.799999999999997</v>
      </c>
      <c r="AE250" s="66">
        <v>39.6</v>
      </c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20</v>
      </c>
      <c r="AQ250" s="68">
        <f t="shared" si="17"/>
        <v>38.669999999999995</v>
      </c>
      <c r="AR250" s="68">
        <f>IFERROR(VLOOKUP(A250,Climatologia_TMAX!A:U,9+$E$2,FALSE),"")</f>
        <v>36.452131073091188</v>
      </c>
      <c r="AS250" s="68">
        <f t="shared" si="18"/>
        <v>2.2178689269088068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>
        <v>40.799999999999997</v>
      </c>
      <c r="AD252" s="66">
        <v>40.6</v>
      </c>
      <c r="AE252" s="66">
        <v>40</v>
      </c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21</v>
      </c>
      <c r="AQ252" s="68">
        <f t="shared" si="17"/>
        <v>38.80952380952381</v>
      </c>
      <c r="AR252" s="68">
        <f>IFERROR(VLOOKUP(A252,Climatologia_TMAX!A:U,9+$E$2,FALSE),"")</f>
        <v>35.220558268183389</v>
      </c>
      <c r="AS252" s="68">
        <f t="shared" si="18"/>
        <v>3.5889655413404213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>
        <v>37</v>
      </c>
      <c r="AD255" s="66">
        <v>36.799999999999997</v>
      </c>
      <c r="AE255" s="66">
        <v>38</v>
      </c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21</v>
      </c>
      <c r="AQ255" s="68">
        <f t="shared" si="17"/>
        <v>35.780952380952378</v>
      </c>
      <c r="AR255" s="68">
        <f>IFERROR(VLOOKUP(A255,Climatologia_TMAX!A:U,9+$E$2,FALSE),"")</f>
        <v>33.060314020206199</v>
      </c>
      <c r="AS255" s="68">
        <f t="shared" si="18"/>
        <v>2.7206383607461788</v>
      </c>
      <c r="AT255" s="74">
        <f t="shared" si="19"/>
        <v>38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-0.79999999999999716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>
        <v>27.6</v>
      </c>
      <c r="AD258" s="66">
        <v>27.7</v>
      </c>
      <c r="AE258" s="66">
        <v>27</v>
      </c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21</v>
      </c>
      <c r="AQ258" s="68">
        <f t="shared" si="17"/>
        <v>26.080952380952379</v>
      </c>
      <c r="AR258" s="68">
        <f>IFERROR(VLOOKUP(A258,Climatologia_TMAX!A:U,9+$E$2,FALSE),"")</f>
        <v>23.450636822409319</v>
      </c>
      <c r="AS258" s="68">
        <f t="shared" si="18"/>
        <v>2.6303155585430602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>
        <v>26.8</v>
      </c>
      <c r="AD259" s="66">
        <v>28.2</v>
      </c>
      <c r="AE259" s="66">
        <v>29</v>
      </c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20</v>
      </c>
      <c r="AQ259" s="68">
        <f t="shared" si="17"/>
        <v>27.274999999999999</v>
      </c>
      <c r="AR259" s="68">
        <f>IFERROR(VLOOKUP(A259,Climatologia_TMAX!A:U,9+$E$2,FALSE),"")</f>
        <v>26.859267723583631</v>
      </c>
      <c r="AS259" s="68">
        <f t="shared" si="18"/>
        <v>0.41573227641636734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>
        <v>23.4</v>
      </c>
      <c r="AD260" s="66">
        <v>23.4</v>
      </c>
      <c r="AE260" s="66">
        <v>22</v>
      </c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21</v>
      </c>
      <c r="AQ260" s="68">
        <f t="shared" si="17"/>
        <v>21.752380952380946</v>
      </c>
      <c r="AR260" s="68">
        <f>IFERROR(VLOOKUP(A260,Climatologia_TMAX!A:U,9+$E$2,FALSE),"")</f>
        <v>18.882112739608111</v>
      </c>
      <c r="AS260" s="68">
        <f t="shared" si="18"/>
        <v>2.8702682127728352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>
        <v>36.799999999999997</v>
      </c>
      <c r="AD261" s="66">
        <v>37.4</v>
      </c>
      <c r="AE261" s="66">
        <v>37.200000000000003</v>
      </c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20</v>
      </c>
      <c r="AQ261" s="68">
        <f t="shared" ref="AQ261:AQ288" si="22">IF(AP261&gt;14,AVERAGE(K261:AO261),"")</f>
        <v>35.97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>
        <v>24.4</v>
      </c>
      <c r="AD262" s="66">
        <v>24.6</v>
      </c>
      <c r="AE262" s="66">
        <v>24.8</v>
      </c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21</v>
      </c>
      <c r="AQ262" s="68">
        <f t="shared" si="22"/>
        <v>23.199999999999996</v>
      </c>
      <c r="AR262" s="68">
        <f>IFERROR(VLOOKUP(A262,Climatologia_TMAX!A:U,9+$E$2,FALSE),"")</f>
        <v>21.05350412968302</v>
      </c>
      <c r="AS262" s="68">
        <f t="shared" si="23"/>
        <v>2.1464958703169756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0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>
        <v>19.600000000000001</v>
      </c>
      <c r="AD266" s="66">
        <v>19.399999999999999</v>
      </c>
      <c r="AE266" s="66">
        <v>19.2</v>
      </c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15</v>
      </c>
      <c r="AQ266" s="68">
        <f t="shared" si="22"/>
        <v>19.173333333333332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>
        <v>15.4</v>
      </c>
      <c r="AD268" s="66">
        <v>15.2</v>
      </c>
      <c r="AE268" s="66">
        <v>15.8</v>
      </c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21</v>
      </c>
      <c r="AQ268" s="68">
        <f t="shared" si="22"/>
        <v>15.352380952380951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>
        <v>21.4</v>
      </c>
      <c r="AD269" s="66">
        <v>21</v>
      </c>
      <c r="AE269" s="66">
        <v>20.8</v>
      </c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21</v>
      </c>
      <c r="AQ269" s="68">
        <f t="shared" si="22"/>
        <v>20.428571428571427</v>
      </c>
      <c r="AR269" s="68">
        <f>IFERROR(VLOOKUP(A269,Climatologia_TMAX!A:U,9+$E$2,FALSE),"")</f>
        <v>19.143200050320459</v>
      </c>
      <c r="AS269" s="68">
        <f t="shared" si="23"/>
        <v>1.2853713782509679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>
        <v>19.399999999999999</v>
      </c>
      <c r="AD270" s="66">
        <v>18</v>
      </c>
      <c r="AE270" s="66">
        <v>18.399999999999999</v>
      </c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19</v>
      </c>
      <c r="AQ270" s="68">
        <f t="shared" si="22"/>
        <v>18.515789473684212</v>
      </c>
      <c r="AR270" s="68">
        <f>IFERROR(VLOOKUP(A270,Climatologia_TMAX!A:U,9+$E$2,FALSE),"")</f>
        <v>16.385184798575551</v>
      </c>
      <c r="AS270" s="68">
        <f t="shared" si="23"/>
        <v>2.1306046751086605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>
        <v>18.2</v>
      </c>
      <c r="AD271" s="66">
        <v>16.8</v>
      </c>
      <c r="AE271" s="66">
        <v>19.399999999999999</v>
      </c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21</v>
      </c>
      <c r="AQ271" s="68">
        <f t="shared" si="22"/>
        <v>17.161904761904758</v>
      </c>
      <c r="AR271" s="68">
        <f>IFERROR(VLOOKUP(A271,Climatologia_TMAX!A:U,9+$E$2,FALSE),"")</f>
        <v>17.371682824188088</v>
      </c>
      <c r="AS271" s="68">
        <f t="shared" si="23"/>
        <v>-0.20977806228333051</v>
      </c>
      <c r="AT271" s="74">
        <f t="shared" si="24"/>
        <v>19.399999999999999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-3.2000000000000028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>
        <v>22.8</v>
      </c>
      <c r="AD272" s="66">
        <v>23.2</v>
      </c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20</v>
      </c>
      <c r="AQ272" s="68">
        <f t="shared" si="22"/>
        <v>22.730000000000004</v>
      </c>
      <c r="AR272" s="68">
        <f>IFERROR(VLOOKUP(A272,Climatologia_TMAX!A:U,9+$E$2,FALSE),"")</f>
        <v>20.524700215122909</v>
      </c>
      <c r="AS272" s="68">
        <f t="shared" si="23"/>
        <v>2.205299784877095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>
        <v>25.6</v>
      </c>
      <c r="AC273" s="66">
        <v>27.8</v>
      </c>
      <c r="AD273" s="66">
        <v>28.4</v>
      </c>
      <c r="AE273" s="66">
        <v>27</v>
      </c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21</v>
      </c>
      <c r="AQ273" s="68">
        <f t="shared" si="22"/>
        <v>27.123809523809523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>
        <v>13.2</v>
      </c>
      <c r="AD275" s="66"/>
      <c r="AE275" s="66">
        <v>11.8</v>
      </c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20</v>
      </c>
      <c r="AQ275" s="68">
        <f t="shared" si="22"/>
        <v>11.650000000000002</v>
      </c>
      <c r="AR275" s="68">
        <f>IFERROR(VLOOKUP(A275,Climatologia_TMAX!A:U,9+$E$2,FALSE),"")</f>
        <v>11.567283004043301</v>
      </c>
      <c r="AS275" s="68">
        <f t="shared" si="23"/>
        <v>8.2716995956701567E-2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>
        <v>36</v>
      </c>
      <c r="AD278" s="66">
        <v>35</v>
      </c>
      <c r="AE278" s="66">
        <v>32.799999999999997</v>
      </c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21</v>
      </c>
      <c r="AQ278" s="68">
        <f t="shared" si="22"/>
        <v>33.6095238095238</v>
      </c>
      <c r="AR278" s="68">
        <f>IFERROR(VLOOKUP(A278,Climatologia_TMAX!A:U,9+$E$2,FALSE),"")</f>
        <v>31.62928722448812</v>
      </c>
      <c r="AS278" s="68">
        <f t="shared" si="23"/>
        <v>1.98023658503568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>
        <v>21.2</v>
      </c>
      <c r="AD279" s="66">
        <v>20.9</v>
      </c>
      <c r="AE279" s="66">
        <v>21.4</v>
      </c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21</v>
      </c>
      <c r="AQ279" s="68">
        <f t="shared" si="22"/>
        <v>20.947619047619042</v>
      </c>
      <c r="AR279" s="68">
        <f>IFERROR(VLOOKUP(A279,Climatologia_TMAX!A:U,9+$E$2,FALSE),"")</f>
        <v>20.492876344086021</v>
      </c>
      <c r="AS279" s="68">
        <f t="shared" si="23"/>
        <v>0.4547427035330216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>
        <v>33.799999999999997</v>
      </c>
      <c r="AD280" s="66">
        <v>34.4</v>
      </c>
      <c r="AE280" s="66">
        <v>33.4</v>
      </c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21</v>
      </c>
      <c r="AQ280" s="68">
        <f t="shared" si="22"/>
        <v>32.74285714285714</v>
      </c>
      <c r="AR280" s="68">
        <f>IFERROR(VLOOKUP(A280,Climatologia_TMAX!A:U,9+$E$2,FALSE),"")</f>
        <v>29.755468215712931</v>
      </c>
      <c r="AS280" s="68">
        <f t="shared" si="23"/>
        <v>2.9873889271442096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>
        <v>18.8</v>
      </c>
      <c r="AC281" s="66">
        <v>24.8</v>
      </c>
      <c r="AD281" s="66">
        <v>23</v>
      </c>
      <c r="AE281" s="66">
        <v>22.2</v>
      </c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21</v>
      </c>
      <c r="AQ281" s="68">
        <f t="shared" si="22"/>
        <v>22.095238095238098</v>
      </c>
      <c r="AR281" s="68">
        <f>IFERROR(VLOOKUP(A281,Climatologia_TMAX!A:U,9+$E$2,FALSE),"")</f>
        <v>19.62978110599078</v>
      </c>
      <c r="AS281" s="68">
        <f t="shared" si="23"/>
        <v>2.4654569892473184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>
        <v>19.600000000000001</v>
      </c>
      <c r="AD284" s="66">
        <v>19.8</v>
      </c>
      <c r="AE284" s="66">
        <v>19</v>
      </c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21</v>
      </c>
      <c r="AQ284" s="68">
        <f t="shared" si="22"/>
        <v>19.161904761904761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>
        <v>22</v>
      </c>
      <c r="AD285" s="66">
        <v>21.8</v>
      </c>
      <c r="AE285" s="66">
        <v>22.4</v>
      </c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21</v>
      </c>
      <c r="AQ285" s="68">
        <f t="shared" si="22"/>
        <v>20.81904761904762</v>
      </c>
      <c r="AR285" s="68">
        <f>IFERROR(VLOOKUP(A285,Climatologia_TMAX!A:U,9+$E$2,FALSE),"")</f>
        <v>19.309961016360539</v>
      </c>
      <c r="AS285" s="68">
        <f t="shared" si="23"/>
        <v>1.5090866026870806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>
        <v>20.2</v>
      </c>
      <c r="AD287" s="66">
        <v>20</v>
      </c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20</v>
      </c>
      <c r="AQ287" s="68">
        <f t="shared" si="22"/>
        <v>19.47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autoFilter ref="C1:C288" xr:uid="{00000000-0001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5" t="s">
        <v>871</v>
      </c>
      <c r="I1" s="126"/>
      <c r="J1" s="127"/>
      <c r="K1" s="125" t="s">
        <v>872</v>
      </c>
      <c r="L1" s="126"/>
      <c r="M1" s="127"/>
      <c r="N1" s="125" t="s">
        <v>873</v>
      </c>
      <c r="O1" s="126"/>
      <c r="P1" s="127"/>
      <c r="Q1" s="125" t="s">
        <v>874</v>
      </c>
      <c r="R1" s="126"/>
      <c r="S1" s="127"/>
      <c r="T1" s="125" t="s">
        <v>875</v>
      </c>
      <c r="U1" s="126"/>
      <c r="V1" s="127"/>
      <c r="W1" s="125" t="s">
        <v>876</v>
      </c>
      <c r="X1" s="126"/>
      <c r="Y1" s="127"/>
      <c r="Z1" s="125" t="s">
        <v>877</v>
      </c>
      <c r="AA1" s="126"/>
      <c r="AB1" s="127"/>
      <c r="AC1" s="125" t="s">
        <v>878</v>
      </c>
      <c r="AD1" s="126"/>
      <c r="AE1" s="127"/>
      <c r="AF1" s="125" t="s">
        <v>879</v>
      </c>
      <c r="AG1" s="126"/>
      <c r="AH1" s="127"/>
      <c r="AI1" s="125" t="s">
        <v>880</v>
      </c>
      <c r="AJ1" s="126"/>
      <c r="AK1" s="127"/>
      <c r="AL1" s="125" t="s">
        <v>881</v>
      </c>
      <c r="AM1" s="126"/>
      <c r="AN1" s="127"/>
      <c r="AO1" s="125" t="s">
        <v>882</v>
      </c>
      <c r="AP1" s="126"/>
      <c r="AQ1" s="127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21" width="11.42578125" style="42" customWidth="1"/>
    <col min="122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2026-08-22T15:24:37Z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2026-08-22T15:11:03Z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24ea7616-e211-40a6-a9e0-d74f5e177298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