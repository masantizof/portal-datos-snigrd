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2570838-0B32-46D7-8A9F-4FAE241B2CF7}" xr6:coauthVersionLast="47" xr6:coauthVersionMax="47" xr10:uidLastSave="{00000000-0000-0000-0000-000000000000}"/>
  <bookViews>
    <workbookView xWindow="27645" yWindow="1740" windowWidth="21600" windowHeight="11295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Temperatura!$AD$1:$AE$212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S211" i="1" s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S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S180" i="1" s="1"/>
  <c r="AR179" i="1"/>
  <c r="AP179" i="1"/>
  <c r="AQ179" i="1" s="1"/>
  <c r="AR178" i="1"/>
  <c r="AP178" i="1"/>
  <c r="AQ178" i="1" s="1"/>
  <c r="AS178" i="1" s="1"/>
  <c r="AR177" i="1"/>
  <c r="AP177" i="1"/>
  <c r="AQ177" i="1" s="1"/>
  <c r="AR176" i="1"/>
  <c r="AP176" i="1"/>
  <c r="AQ176" i="1" s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S148" i="1" s="1"/>
  <c r="AR147" i="1"/>
  <c r="AP147" i="1"/>
  <c r="AQ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S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S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S119" i="1" s="1"/>
  <c r="AR118" i="1"/>
  <c r="AP118" i="1"/>
  <c r="AQ118" i="1" s="1"/>
  <c r="AR117" i="1"/>
  <c r="AP117" i="1"/>
  <c r="AQ117" i="1" s="1"/>
  <c r="AR116" i="1"/>
  <c r="AP116" i="1"/>
  <c r="AQ116" i="1" s="1"/>
  <c r="AS116" i="1" s="1"/>
  <c r="AR115" i="1"/>
  <c r="AP115" i="1"/>
  <c r="AQ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R107" i="1"/>
  <c r="AP107" i="1"/>
  <c r="AQ107" i="1" s="1"/>
  <c r="AS107" i="1" s="1"/>
  <c r="AR106" i="1"/>
  <c r="AP106" i="1"/>
  <c r="AQ106" i="1" s="1"/>
  <c r="AR105" i="1"/>
  <c r="AP105" i="1"/>
  <c r="AQ105" i="1" s="1"/>
  <c r="AR104" i="1"/>
  <c r="AP104" i="1"/>
  <c r="AQ104" i="1" s="1"/>
  <c r="AS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S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R91" i="1"/>
  <c r="AP91" i="1"/>
  <c r="AQ91" i="1" s="1"/>
  <c r="AR90" i="1"/>
  <c r="AP90" i="1"/>
  <c r="AQ90" i="1" s="1"/>
  <c r="AS90" i="1" s="1"/>
  <c r="AR89" i="1"/>
  <c r="AP89" i="1"/>
  <c r="AQ89" i="1" s="1"/>
  <c r="AR88" i="1"/>
  <c r="AP88" i="1"/>
  <c r="AQ88" i="1" s="1"/>
  <c r="AS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S82" i="1" s="1"/>
  <c r="AR81" i="1"/>
  <c r="AP81" i="1"/>
  <c r="AQ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R77" i="1"/>
  <c r="AP77" i="1"/>
  <c r="AQ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S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R56" i="1"/>
  <c r="AP56" i="1"/>
  <c r="AQ56" i="1" s="1"/>
  <c r="AR55" i="1"/>
  <c r="AP55" i="1"/>
  <c r="AQ55" i="1" s="1"/>
  <c r="AS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R47" i="1"/>
  <c r="AP47" i="1"/>
  <c r="AQ47" i="1" s="1"/>
  <c r="AR46" i="1"/>
  <c r="AP46" i="1"/>
  <c r="AQ46" i="1" s="1"/>
  <c r="AS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S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S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R14" i="1"/>
  <c r="AP14" i="1"/>
  <c r="AQ14" i="1" s="1"/>
  <c r="AR13" i="1"/>
  <c r="AP13" i="1"/>
  <c r="AQ13" i="1" s="1"/>
  <c r="AS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S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124" i="1" l="1"/>
  <c r="AS131" i="1"/>
  <c r="AS27" i="1"/>
  <c r="AS37" i="1"/>
  <c r="AS69" i="1"/>
  <c r="AS101" i="1"/>
  <c r="AS133" i="1"/>
  <c r="AS165" i="1"/>
  <c r="AS197" i="1"/>
  <c r="AS30" i="1"/>
  <c r="AS127" i="1"/>
  <c r="AS6" i="1"/>
  <c r="AS38" i="1"/>
  <c r="AS198" i="1"/>
  <c r="AS105" i="1"/>
  <c r="AS8" i="1"/>
  <c r="AS74" i="1"/>
  <c r="AS139" i="1"/>
  <c r="AS171" i="1"/>
  <c r="AS203" i="1"/>
  <c r="AS10" i="1"/>
  <c r="AS207" i="1"/>
  <c r="AS96" i="1"/>
  <c r="AS33" i="1"/>
  <c r="AS40" i="1"/>
  <c r="AS95" i="1"/>
  <c r="AS19" i="1"/>
  <c r="AS84" i="1"/>
  <c r="AS12" i="1"/>
  <c r="AS21" i="1"/>
  <c r="AS53" i="1"/>
  <c r="AS151" i="1"/>
  <c r="AS193" i="1"/>
  <c r="AS188" i="1"/>
  <c r="AS25" i="1"/>
  <c r="AS132" i="1"/>
  <c r="AS26" i="1"/>
  <c r="AS120" i="1"/>
  <c r="AS86" i="1"/>
  <c r="AS5" i="1"/>
  <c r="AS125" i="1"/>
  <c r="AS66" i="1"/>
  <c r="AS102" i="1"/>
  <c r="AS134" i="1"/>
  <c r="AS118" i="1"/>
  <c r="AS186" i="1"/>
  <c r="AS61" i="1"/>
  <c r="AS159" i="1"/>
  <c r="AS189" i="1"/>
  <c r="AS29" i="1"/>
  <c r="AS201" i="1"/>
  <c r="AS202" i="1"/>
  <c r="AS56" i="1"/>
  <c r="AS97" i="1"/>
  <c r="AS205" i="1"/>
  <c r="AS23" i="1"/>
  <c r="AS121" i="1"/>
  <c r="AS91" i="1"/>
  <c r="AS173" i="1"/>
  <c r="AS177" i="1"/>
  <c r="AS129" i="1"/>
  <c r="AS36" i="1"/>
  <c r="AS157" i="1"/>
  <c r="AS191" i="1"/>
  <c r="AS83" i="1"/>
  <c r="AS115" i="1"/>
  <c r="AS73" i="1"/>
  <c r="AS150" i="1"/>
  <c r="AS68" i="1"/>
  <c r="AS48" i="1"/>
  <c r="AS18" i="1"/>
  <c r="AS106" i="1"/>
  <c r="AS89" i="1"/>
  <c r="AS43" i="1"/>
  <c r="AS22" i="1"/>
  <c r="AS85" i="1"/>
  <c r="AS117" i="1"/>
  <c r="AS149" i="1"/>
  <c r="AS181" i="1"/>
  <c r="AS94" i="1"/>
  <c r="AS196" i="1"/>
  <c r="AS185" i="1"/>
  <c r="AS158" i="1"/>
  <c r="AS63" i="1"/>
  <c r="AS77" i="1"/>
  <c r="AS137" i="1"/>
  <c r="AS167" i="1"/>
  <c r="AS64" i="1"/>
  <c r="AS72" i="1"/>
  <c r="AS45" i="1"/>
  <c r="AS163" i="1"/>
  <c r="AS138" i="1"/>
  <c r="AS168" i="1"/>
  <c r="AS164" i="1"/>
  <c r="AS169" i="1"/>
  <c r="AS199" i="1"/>
  <c r="AS187" i="1"/>
  <c r="AS128" i="1"/>
  <c r="AS155" i="1"/>
  <c r="AS98" i="1"/>
  <c r="AS51" i="1"/>
  <c r="AS156" i="1"/>
  <c r="AS7" i="1"/>
  <c r="AS39" i="1"/>
  <c r="AS162" i="1"/>
  <c r="AS195" i="1"/>
  <c r="AS166" i="1"/>
  <c r="AS190" i="1"/>
  <c r="AS78" i="1"/>
  <c r="AS81" i="1"/>
  <c r="AS87" i="1"/>
  <c r="AS208" i="1"/>
  <c r="AS160" i="1"/>
  <c r="AS192" i="1"/>
  <c r="AS103" i="1"/>
  <c r="AS170" i="1"/>
  <c r="AS11" i="1"/>
  <c r="AS172" i="1"/>
  <c r="AS209" i="1"/>
  <c r="AS99" i="1"/>
  <c r="AS15" i="1"/>
  <c r="AS20" i="1"/>
  <c r="AS161" i="1"/>
  <c r="AS204" i="1"/>
  <c r="AS210" i="1"/>
  <c r="AS194" i="1"/>
  <c r="AS184" i="1"/>
  <c r="AS44" i="1"/>
  <c r="AS147" i="1"/>
  <c r="AS67" i="1"/>
  <c r="AS47" i="1"/>
  <c r="AS206" i="1"/>
  <c r="AS126" i="1"/>
  <c r="AS14" i="1"/>
  <c r="AS57" i="1"/>
  <c r="AS179" i="1"/>
  <c r="AS60" i="1"/>
  <c r="AS31" i="1"/>
  <c r="AS62" i="1"/>
  <c r="AS92" i="1"/>
  <c r="AS122" i="1"/>
  <c r="AS152" i="1"/>
  <c r="AS182" i="1"/>
  <c r="AS212" i="1"/>
  <c r="AS54" i="1"/>
  <c r="AS176" i="1"/>
  <c r="AS154" i="1"/>
  <c r="AS65" i="1"/>
  <c r="AS70" i="1"/>
  <c r="AS135" i="1"/>
  <c r="AS108" i="1"/>
  <c r="AS52" i="1"/>
  <c r="AS32" i="1"/>
  <c r="AS93" i="1"/>
  <c r="AS123" i="1"/>
  <c r="AS153" i="1"/>
  <c r="AS183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<sst xmlns="http://schemas.openxmlformats.org/spreadsheetml/2006/main" count="3690" uniqueCount="1514">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</sst>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I1" zoomScale="80" zoomScaleNormal="80" workbookViewId="0">
      <selection activeCell="AF218" sqref="AF218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40" width="32.42578125" style="50" customWidth="1"/>
    <col min="141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>
        <v>30</v>
      </c>
      <c r="Z5" s="56">
        <v>30.2</v>
      </c>
      <c r="AA5" s="56">
        <v>29</v>
      </c>
      <c r="AB5" s="56">
        <v>28.2</v>
      </c>
      <c r="AC5" s="56">
        <v>29.2</v>
      </c>
      <c r="AD5" s="56">
        <v>30.2</v>
      </c>
      <c r="AE5" s="56">
        <v>30.3</v>
      </c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21</v>
      </c>
      <c r="AQ5" s="71">
        <f t="shared" ref="AQ5:AQ68" si="1">IF(AP5&gt;14,AVERAGE(K5:AO5),"")</f>
        <v>29.628571428571426</v>
      </c>
      <c r="AR5" s="71">
        <f>IFERROR(VLOOKUP(A5,Climatologia_TMED!A:U,9+$E$2,FALSE),"")</f>
        <v>28.292205052411301</v>
      </c>
      <c r="AS5" s="71">
        <f t="shared" ref="AS5:AS68" si="2">IF(OR(AQ5="",AR5=""),"",IFERROR(AQ5-AR5,""))</f>
        <v>1.3363663761601252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>
        <v>29.7</v>
      </c>
      <c r="Z6" s="56">
        <v>29.6</v>
      </c>
      <c r="AA6" s="56">
        <v>29.5</v>
      </c>
      <c r="AB6" s="56">
        <v>28.1</v>
      </c>
      <c r="AC6" s="56">
        <v>29.5</v>
      </c>
      <c r="AD6" s="56">
        <v>29.4</v>
      </c>
      <c r="AE6" s="56">
        <v>29.9</v>
      </c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21</v>
      </c>
      <c r="AQ6" s="71">
        <f t="shared" si="1"/>
        <v>29.44285714285714</v>
      </c>
      <c r="AR6" s="71">
        <f>IFERROR(VLOOKUP(A6,Climatologia_TMED!A:U,9+$E$2,FALSE),"")</f>
        <v>28.542323510282561</v>
      </c>
      <c r="AS6" s="71">
        <f t="shared" si="2"/>
        <v>0.90053363257457875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>
        <v>32.299999999999997</v>
      </c>
      <c r="Z7" s="56">
        <v>30.8</v>
      </c>
      <c r="AA7" s="56">
        <v>26.9</v>
      </c>
      <c r="AB7" s="56">
        <v>29.6</v>
      </c>
      <c r="AC7" s="56">
        <v>30.9</v>
      </c>
      <c r="AD7" s="56">
        <v>32.200000000000003</v>
      </c>
      <c r="AE7" s="56">
        <v>32.700000000000003</v>
      </c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21</v>
      </c>
      <c r="AQ7" s="71">
        <f t="shared" si="1"/>
        <v>31.209523809523812</v>
      </c>
      <c r="AR7" s="71">
        <f>IFERROR(VLOOKUP(A7,Climatologia_TMED!A:U,9+$E$2,FALSE),"")</f>
        <v>28.878924731182799</v>
      </c>
      <c r="AS7" s="71">
        <f t="shared" si="2"/>
        <v>2.3305990783410131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>
        <v>30.3</v>
      </c>
      <c r="Z8" s="56">
        <v>30.7</v>
      </c>
      <c r="AA8" s="56">
        <v>28.1</v>
      </c>
      <c r="AB8" s="56">
        <v>29.5</v>
      </c>
      <c r="AC8" s="56">
        <v>29.8</v>
      </c>
      <c r="AD8" s="56">
        <v>29.8</v>
      </c>
      <c r="AE8" s="56">
        <v>29</v>
      </c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21</v>
      </c>
      <c r="AQ8" s="71">
        <f t="shared" si="1"/>
        <v>30.004761904761899</v>
      </c>
      <c r="AR8" s="71">
        <f>IFERROR(VLOOKUP(A8,Climatologia_TMED!A:U,9+$E$2,FALSE),"")</f>
        <v>28.663204007006499</v>
      </c>
      <c r="AS8" s="71">
        <f t="shared" si="2"/>
        <v>1.3415578977554006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>
        <v>30.6</v>
      </c>
      <c r="Z9" s="56">
        <v>31</v>
      </c>
      <c r="AA9" s="56">
        <v>28.7</v>
      </c>
      <c r="AB9" s="56">
        <v>29</v>
      </c>
      <c r="AC9" s="56">
        <v>30.2</v>
      </c>
      <c r="AD9" s="56">
        <v>31.5</v>
      </c>
      <c r="AE9" s="56">
        <v>30.1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21</v>
      </c>
      <c r="AQ9" s="71">
        <f t="shared" si="1"/>
        <v>30.05714285714286</v>
      </c>
      <c r="AR9" s="71">
        <f>IFERROR(VLOOKUP(A9,Climatologia_TMED!A:U,9+$E$2,FALSE),"")</f>
        <v>29.925161290322539</v>
      </c>
      <c r="AS9" s="71">
        <f t="shared" si="2"/>
        <v>0.13198156682032192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>
        <v>31.5</v>
      </c>
      <c r="Z10" s="56">
        <v>32.700000000000003</v>
      </c>
      <c r="AA10" s="56">
        <v>30.5</v>
      </c>
      <c r="AB10" s="56">
        <v>29.9</v>
      </c>
      <c r="AC10" s="56">
        <v>32.1</v>
      </c>
      <c r="AD10" s="56">
        <v>34.299999999999997</v>
      </c>
      <c r="AE10" s="56">
        <v>31.5</v>
      </c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21</v>
      </c>
      <c r="AQ10" s="71">
        <f t="shared" si="1"/>
        <v>32.019047619047619</v>
      </c>
      <c r="AR10" s="71">
        <f>IFERROR(VLOOKUP(A10,Climatologia_TMED!A:U,9+$E$2,FALSE),"")</f>
        <v>29.55639347861802</v>
      </c>
      <c r="AS10" s="71">
        <f t="shared" si="2"/>
        <v>2.4626541404295992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>
        <v>34</v>
      </c>
      <c r="Z11" s="56">
        <v>33</v>
      </c>
      <c r="AA11" s="56">
        <v>30.6</v>
      </c>
      <c r="AB11" s="56">
        <v>31.8</v>
      </c>
      <c r="AC11" s="56">
        <v>33.1</v>
      </c>
      <c r="AD11" s="56">
        <v>33.700000000000003</v>
      </c>
      <c r="AE11" s="56">
        <v>33.4</v>
      </c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21</v>
      </c>
      <c r="AQ11" s="71">
        <f t="shared" si="1"/>
        <v>33.152380952380952</v>
      </c>
      <c r="AR11" s="71">
        <f>IFERROR(VLOOKUP(A11,Climatologia_TMED!A:U,9+$E$2,FALSE),"")</f>
        <v>29.275519036173971</v>
      </c>
      <c r="AS11" s="71">
        <f t="shared" si="2"/>
        <v>3.8768619162069804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>
        <v>30.9</v>
      </c>
      <c r="Z12" s="56">
        <v>30.1</v>
      </c>
      <c r="AA12" s="56">
        <v>27.2</v>
      </c>
      <c r="AB12" s="56">
        <v>28.8</v>
      </c>
      <c r="AC12" s="56">
        <v>30.8</v>
      </c>
      <c r="AD12" s="56">
        <v>30.3</v>
      </c>
      <c r="AE12" s="56">
        <v>31.3</v>
      </c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21</v>
      </c>
      <c r="AQ12" s="71">
        <f t="shared" si="1"/>
        <v>30.11904761904761</v>
      </c>
      <c r="AR12" s="71">
        <f>IFERROR(VLOOKUP(A12,Climatologia_TMED!A:U,9+$E$2,FALSE),"")</f>
        <v>28.08210560234475</v>
      </c>
      <c r="AS12" s="71">
        <f t="shared" si="2"/>
        <v>2.0369420167028593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>
        <v>31.1</v>
      </c>
      <c r="Z13" s="56">
        <v>30.4</v>
      </c>
      <c r="AA13" s="56">
        <v>28.4</v>
      </c>
      <c r="AB13" s="56">
        <v>28</v>
      </c>
      <c r="AC13" s="56">
        <v>30.2</v>
      </c>
      <c r="AD13" s="56">
        <v>31.8</v>
      </c>
      <c r="AE13" s="56">
        <v>30.5</v>
      </c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21</v>
      </c>
      <c r="AQ13" s="71">
        <f t="shared" si="1"/>
        <v>30.957142857142852</v>
      </c>
      <c r="AR13" s="71">
        <f>IFERROR(VLOOKUP(A13,Climatologia_TMED!A:U,9+$E$2,FALSE),"")</f>
        <v>28.275630329996261</v>
      </c>
      <c r="AS13" s="71">
        <f t="shared" si="2"/>
        <v>2.6815125271465909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>
        <v>25.3</v>
      </c>
      <c r="Z14" s="56">
        <v>22.5</v>
      </c>
      <c r="AA14" s="56">
        <v>22.9</v>
      </c>
      <c r="AB14" s="56">
        <v>22.2</v>
      </c>
      <c r="AC14" s="56">
        <v>24.8</v>
      </c>
      <c r="AD14" s="56">
        <v>25.9</v>
      </c>
      <c r="AE14" s="56">
        <v>24.5</v>
      </c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21</v>
      </c>
      <c r="AQ14" s="71">
        <f t="shared" si="1"/>
        <v>24.657142857142855</v>
      </c>
      <c r="AR14" s="71">
        <f>IFERROR(VLOOKUP(A14,Climatologia_TMED!A:U,9+$E$2,FALSE),"")</f>
        <v>21.814997932175341</v>
      </c>
      <c r="AS14" s="71">
        <f t="shared" si="2"/>
        <v>2.8421449249675135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>
        <v>28.8</v>
      </c>
      <c r="Z15" s="56">
        <v>28.6</v>
      </c>
      <c r="AA15" s="56">
        <v>29.5</v>
      </c>
      <c r="AB15" s="56">
        <v>29.3</v>
      </c>
      <c r="AC15" s="56">
        <v>31.4</v>
      </c>
      <c r="AD15" s="56">
        <v>30.8</v>
      </c>
      <c r="AE15" s="56">
        <v>31.8</v>
      </c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21</v>
      </c>
      <c r="AQ15" s="71">
        <f t="shared" si="1"/>
        <v>30.938095238095237</v>
      </c>
      <c r="AR15" s="71">
        <f>IFERROR(VLOOKUP(A15,Climatologia_TMED!A:U,9+$E$2,FALSE),"")</f>
        <v>28.742611827956981</v>
      </c>
      <c r="AS15" s="71">
        <f t="shared" si="2"/>
        <v>2.1954834101382552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>
        <v>28.7</v>
      </c>
      <c r="Z16" s="56">
        <v>28.5</v>
      </c>
      <c r="AA16" s="56">
        <v>25.3</v>
      </c>
      <c r="AB16" s="56">
        <v>27.8</v>
      </c>
      <c r="AC16" s="56">
        <v>30.2</v>
      </c>
      <c r="AD16" s="56">
        <v>30.1</v>
      </c>
      <c r="AE16" s="56">
        <v>30.1</v>
      </c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21</v>
      </c>
      <c r="AQ16" s="71">
        <f t="shared" si="1"/>
        <v>28.585714285714289</v>
      </c>
      <c r="AR16" s="71">
        <f>IFERROR(VLOOKUP(A16,Climatologia_TMED!A:U,9+$E$2,FALSE),"")</f>
        <v>27.745849035404088</v>
      </c>
      <c r="AS16" s="71">
        <f t="shared" si="2"/>
        <v>0.83986525031020065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>
        <v>27.5</v>
      </c>
      <c r="Z17" s="56">
        <v>24.6</v>
      </c>
      <c r="AA17" s="56">
        <v>21.2</v>
      </c>
      <c r="AB17" s="56">
        <v>24.1</v>
      </c>
      <c r="AC17" s="56">
        <v>26.2</v>
      </c>
      <c r="AD17" s="56">
        <v>26.3</v>
      </c>
      <c r="AE17" s="56">
        <v>26.6</v>
      </c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21</v>
      </c>
      <c r="AQ17" s="71">
        <f t="shared" si="1"/>
        <v>25.842857142857138</v>
      </c>
      <c r="AR17" s="71">
        <f>IFERROR(VLOOKUP(A17,Climatologia_TMED!A:U,9+$E$2,FALSE),"")</f>
        <v>23.942684331797231</v>
      </c>
      <c r="AS17" s="71">
        <f t="shared" si="2"/>
        <v>1.9001728110599068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>
        <v>20.100000000000001</v>
      </c>
      <c r="Z18" s="56">
        <v>19.7</v>
      </c>
      <c r="AA18" s="56">
        <v>17.5</v>
      </c>
      <c r="AB18" s="56">
        <v>18.7</v>
      </c>
      <c r="AC18" s="56">
        <v>19.100000000000001</v>
      </c>
      <c r="AD18" s="56">
        <v>19.2</v>
      </c>
      <c r="AE18" s="56">
        <v>19.5</v>
      </c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21</v>
      </c>
      <c r="AQ18" s="71">
        <f t="shared" si="1"/>
        <v>19.228571428571431</v>
      </c>
      <c r="AR18" s="71">
        <f>IFERROR(VLOOKUP(A18,Climatologia_TMED!A:U,9+$E$2,FALSE),"")</f>
        <v>17.429768704357489</v>
      </c>
      <c r="AS18" s="71">
        <f t="shared" si="2"/>
        <v>1.7988027242139424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>
        <v>25</v>
      </c>
      <c r="Z19" s="56">
        <v>21.1</v>
      </c>
      <c r="AA19" s="56">
        <v>19.8</v>
      </c>
      <c r="AB19" s="56">
        <v>23.5</v>
      </c>
      <c r="AC19" s="56">
        <v>25.4</v>
      </c>
      <c r="AD19" s="56">
        <v>25.7</v>
      </c>
      <c r="AE19" s="56">
        <v>25.8</v>
      </c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21</v>
      </c>
      <c r="AQ19" s="71">
        <f t="shared" si="1"/>
        <v>24.647619047619049</v>
      </c>
      <c r="AR19" s="71">
        <f>IFERROR(VLOOKUP(A19,Climatologia_TMED!A:U,9+$E$2,FALSE),"")</f>
        <v>22.368290322580641</v>
      </c>
      <c r="AS19" s="71">
        <f t="shared" si="2"/>
        <v>2.2793287250384076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>
        <v>24.9</v>
      </c>
      <c r="Z20" s="56">
        <v>22.6</v>
      </c>
      <c r="AA20" s="56">
        <v>21.2</v>
      </c>
      <c r="AB20" s="56">
        <v>23.9</v>
      </c>
      <c r="AC20" s="56">
        <v>24.5</v>
      </c>
      <c r="AD20" s="56">
        <v>25.7</v>
      </c>
      <c r="AE20" s="56">
        <v>25.7</v>
      </c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20</v>
      </c>
      <c r="AQ20" s="71">
        <f t="shared" si="1"/>
        <v>24.719999999999995</v>
      </c>
      <c r="AR20" s="71">
        <f>IFERROR(VLOOKUP(A20,Climatologia_TMED!A:U,9+$E$2,FALSE),"")</f>
        <v>22.807707609594701</v>
      </c>
      <c r="AS20" s="71">
        <f t="shared" si="2"/>
        <v>1.9122923904052946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>
        <v>28.8</v>
      </c>
      <c r="Z21" s="56">
        <v>24.6</v>
      </c>
      <c r="AA21" s="56">
        <v>24.3</v>
      </c>
      <c r="AB21" s="56">
        <v>26.3</v>
      </c>
      <c r="AC21" s="56">
        <v>29</v>
      </c>
      <c r="AD21" s="56">
        <v>29.3</v>
      </c>
      <c r="AE21" s="56">
        <v>28.6</v>
      </c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21</v>
      </c>
      <c r="AQ21" s="71">
        <f t="shared" si="1"/>
        <v>28.328571428571433</v>
      </c>
      <c r="AR21" s="71">
        <f>IFERROR(VLOOKUP(A21,Climatologia_TMED!A:U,9+$E$2,FALSE),"")</f>
        <v>25.445872233516159</v>
      </c>
      <c r="AS21" s="71">
        <f t="shared" si="2"/>
        <v>2.8826991950552738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>
        <v>16.600000000000001</v>
      </c>
      <c r="Z22" s="56">
        <v>15.1</v>
      </c>
      <c r="AA22" s="56">
        <v>15.4</v>
      </c>
      <c r="AB22" s="56">
        <v>16</v>
      </c>
      <c r="AC22" s="56">
        <v>17</v>
      </c>
      <c r="AD22" s="56">
        <v>16.3</v>
      </c>
      <c r="AE22" s="56">
        <v>15.2</v>
      </c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21</v>
      </c>
      <c r="AQ22" s="71">
        <f t="shared" si="1"/>
        <v>15.752380952380953</v>
      </c>
      <c r="AR22" s="71">
        <f>IFERROR(VLOOKUP(A22,Climatologia_TMED!A:U,9+$E$2,FALSE),"")</f>
        <v>13.827819728473219</v>
      </c>
      <c r="AS22" s="71">
        <f t="shared" si="2"/>
        <v>1.9245612239077339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>
        <v>26.1</v>
      </c>
      <c r="Z23" s="56">
        <v>23.9</v>
      </c>
      <c r="AA23" s="56">
        <v>22.8</v>
      </c>
      <c r="AB23" s="56">
        <v>26.2</v>
      </c>
      <c r="AC23" s="56">
        <v>27</v>
      </c>
      <c r="AD23" s="56">
        <v>27.4</v>
      </c>
      <c r="AE23" s="56">
        <v>26.9</v>
      </c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20</v>
      </c>
      <c r="AQ23" s="71">
        <f t="shared" si="1"/>
        <v>26.26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>
        <v>31.3</v>
      </c>
      <c r="Z24" s="56">
        <v>28.4</v>
      </c>
      <c r="AA24" s="56">
        <v>27.6</v>
      </c>
      <c r="AB24" s="56">
        <v>30.7</v>
      </c>
      <c r="AC24" s="56">
        <v>31.5</v>
      </c>
      <c r="AD24" s="56">
        <v>31.1</v>
      </c>
      <c r="AE24" s="56">
        <v>30.9</v>
      </c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21</v>
      </c>
      <c r="AQ24" s="71">
        <f t="shared" si="1"/>
        <v>30.642857142857149</v>
      </c>
      <c r="AR24" s="71">
        <f>IFERROR(VLOOKUP(A24,Climatologia_TMED!A:U,9+$E$2,FALSE),"")</f>
        <v>29.117078853046579</v>
      </c>
      <c r="AS24" s="71">
        <f t="shared" si="2"/>
        <v>1.525778289810571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>
        <v>23.2</v>
      </c>
      <c r="Z25" s="56">
        <v>19.3</v>
      </c>
      <c r="AA25" s="56">
        <v>19.5</v>
      </c>
      <c r="AB25" s="56">
        <v>21.6</v>
      </c>
      <c r="AC25" s="56">
        <v>23.8</v>
      </c>
      <c r="AD25" s="56">
        <v>22.9</v>
      </c>
      <c r="AE25" s="56">
        <v>23.9</v>
      </c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21</v>
      </c>
      <c r="AQ25" s="71">
        <f t="shared" si="1"/>
        <v>22.547619047619047</v>
      </c>
      <c r="AR25" s="71">
        <f>IFERROR(VLOOKUP(A25,Climatologia_TMED!A:U,9+$E$2,FALSE),"")</f>
        <v>20.318073144829391</v>
      </c>
      <c r="AS25" s="71">
        <f t="shared" si="2"/>
        <v>2.2295459027896563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>
        <v>12.2</v>
      </c>
      <c r="Z26" s="56">
        <v>12.1</v>
      </c>
      <c r="AA26" s="56">
        <v>12.7</v>
      </c>
      <c r="AB26" s="56">
        <v>11.9</v>
      </c>
      <c r="AC26" s="56">
        <v>11.7</v>
      </c>
      <c r="AD26" s="56">
        <v>11.5</v>
      </c>
      <c r="AE26" s="56">
        <v>12.1</v>
      </c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21</v>
      </c>
      <c r="AQ26" s="71">
        <f t="shared" si="1"/>
        <v>11.542857142857141</v>
      </c>
      <c r="AR26" s="71">
        <f>IFERROR(VLOOKUP(A26,Climatologia_TMED!A:U,9+$E$2,FALSE),"")</f>
        <v>10.2499147200593</v>
      </c>
      <c r="AS26" s="71">
        <f t="shared" si="2"/>
        <v>1.2929424227978412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>
        <v>27.7</v>
      </c>
      <c r="Z27" s="56">
        <v>26.4</v>
      </c>
      <c r="AA27" s="56">
        <v>24.9</v>
      </c>
      <c r="AB27" s="56">
        <v>28.4</v>
      </c>
      <c r="AC27" s="56">
        <v>29.3</v>
      </c>
      <c r="AD27" s="56">
        <v>29.6</v>
      </c>
      <c r="AE27" s="56">
        <v>29.1</v>
      </c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21</v>
      </c>
      <c r="AQ27" s="71">
        <f t="shared" si="1"/>
        <v>28.280952380952378</v>
      </c>
      <c r="AR27" s="71">
        <f>IFERROR(VLOOKUP(A27,Climatologia_TMED!A:U,9+$E$2,FALSE),"")</f>
        <v>26.978227598566299</v>
      </c>
      <c r="AS27" s="71">
        <f t="shared" si="2"/>
        <v>1.302724782386079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>
        <v>25.5</v>
      </c>
      <c r="Z28" s="56">
        <v>25.2</v>
      </c>
      <c r="AA28" s="56">
        <v>26.9</v>
      </c>
      <c r="AB28" s="56">
        <v>27.4</v>
      </c>
      <c r="AC28" s="56">
        <v>29.9</v>
      </c>
      <c r="AD28" s="56">
        <v>27.6</v>
      </c>
      <c r="AE28" s="56">
        <v>28.3</v>
      </c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21</v>
      </c>
      <c r="AQ28" s="71">
        <f t="shared" si="1"/>
        <v>27.833333333333329</v>
      </c>
      <c r="AR28" s="71">
        <f>IFERROR(VLOOKUP(A28,Climatologia_TMED!A:U,9+$E$2,FALSE),"")</f>
        <v>26.165451660622249</v>
      </c>
      <c r="AS28" s="71">
        <f t="shared" si="2"/>
        <v>1.6678816727110792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>
        <v>28.1</v>
      </c>
      <c r="Z29" s="56">
        <v>26.5</v>
      </c>
      <c r="AA29" s="56">
        <v>25.1</v>
      </c>
      <c r="AB29" s="56">
        <v>28.6</v>
      </c>
      <c r="AC29" s="56">
        <v>29</v>
      </c>
      <c r="AD29" s="56">
        <v>28.9</v>
      </c>
      <c r="AE29" s="56">
        <v>26.9</v>
      </c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21</v>
      </c>
      <c r="AQ29" s="71">
        <f t="shared" si="1"/>
        <v>27.733333333333338</v>
      </c>
      <c r="AR29" s="71">
        <f>IFERROR(VLOOKUP(A29,Climatologia_TMED!A:U,9+$E$2,FALSE),"")</f>
        <v>27.268435099846361</v>
      </c>
      <c r="AS29" s="71">
        <f t="shared" si="2"/>
        <v>0.46489823348697712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>
        <v>25.5</v>
      </c>
      <c r="Z30" s="56">
        <v>25.7</v>
      </c>
      <c r="AA30" s="56">
        <v>24.1</v>
      </c>
      <c r="AB30" s="56">
        <v>26.4</v>
      </c>
      <c r="AC30" s="56">
        <v>28.1</v>
      </c>
      <c r="AD30" s="56">
        <v>27.1</v>
      </c>
      <c r="AE30" s="56">
        <v>25.4</v>
      </c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21</v>
      </c>
      <c r="AQ30" s="71">
        <f t="shared" si="1"/>
        <v>26.090476190476195</v>
      </c>
      <c r="AR30" s="71">
        <f>IFERROR(VLOOKUP(A30,Climatologia_TMED!A:U,9+$E$2,FALSE),"")</f>
        <v>25.205756395995511</v>
      </c>
      <c r="AS30" s="71">
        <f t="shared" si="2"/>
        <v>0.88471979448068439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>
        <v>25.6</v>
      </c>
      <c r="Z31" s="98">
        <v>28</v>
      </c>
      <c r="AA31" s="98">
        <v>27.5</v>
      </c>
      <c r="AB31" s="98">
        <v>25.7</v>
      </c>
      <c r="AC31" s="98">
        <v>26.6</v>
      </c>
      <c r="AD31" s="98">
        <v>28.4</v>
      </c>
      <c r="AE31" s="98">
        <v>27</v>
      </c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21</v>
      </c>
      <c r="AQ31" s="71">
        <f t="shared" si="1"/>
        <v>27.533333333333331</v>
      </c>
      <c r="AR31" s="71">
        <f>IFERROR(VLOOKUP(A31,Climatologia_TMED!A:U,9+$E$2,FALSE),"")</f>
        <v>25.960296951277201</v>
      </c>
      <c r="AS31" s="71">
        <f t="shared" si="2"/>
        <v>1.5730363820561308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>
        <v>21.733333333333331</v>
      </c>
      <c r="Z32" s="56">
        <v>21.2</v>
      </c>
      <c r="AA32" s="56">
        <v>20.399999999999999</v>
      </c>
      <c r="AB32" s="56">
        <v>21.06666666666667</v>
      </c>
      <c r="AC32" s="56">
        <v>20.533333333333331</v>
      </c>
      <c r="AD32" s="56">
        <v>19.8</v>
      </c>
      <c r="AE32" s="56">
        <v>20.2</v>
      </c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21</v>
      </c>
      <c r="AQ32" s="71">
        <f t="shared" si="1"/>
        <v>20.225396825396825</v>
      </c>
      <c r="AR32" s="71">
        <f>IFERROR(VLOOKUP(A32,Climatologia_TMED!A:U,9+$E$2,FALSE),"")</f>
        <v>17.69892835396929</v>
      </c>
      <c r="AS32" s="71">
        <f t="shared" si="2"/>
        <v>2.5264684714275347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>
        <v>28.35</v>
      </c>
      <c r="Z33" s="56">
        <v>28.35</v>
      </c>
      <c r="AA33" s="56">
        <v>24.95</v>
      </c>
      <c r="AB33" s="56">
        <v>27.8</v>
      </c>
      <c r="AC33" s="56">
        <v>29.45</v>
      </c>
      <c r="AD33" s="56">
        <v>29.7</v>
      </c>
      <c r="AE33" s="56">
        <v>29.3</v>
      </c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21</v>
      </c>
      <c r="AQ33" s="71">
        <f t="shared" si="1"/>
        <v>28.15</v>
      </c>
      <c r="AR33" s="71">
        <f>IFERROR(VLOOKUP(A33,Climatologia_TMED!A:U,9+$E$2,FALSE),"")</f>
        <v>26.885476337530289</v>
      </c>
      <c r="AS33" s="71">
        <f t="shared" si="2"/>
        <v>1.2645236624697098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>
        <v>22.4</v>
      </c>
      <c r="Z34" s="56">
        <v>21.333333333333329</v>
      </c>
      <c r="AA34" s="56">
        <v>19.8</v>
      </c>
      <c r="AB34" s="56">
        <v>20.399999999999999</v>
      </c>
      <c r="AC34" s="56">
        <v>23.2</v>
      </c>
      <c r="AD34" s="56">
        <v>22.06666666666667</v>
      </c>
      <c r="AE34" s="56">
        <v>21.86666666666666</v>
      </c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21</v>
      </c>
      <c r="AQ34" s="71">
        <f t="shared" si="1"/>
        <v>21.657142857142855</v>
      </c>
      <c r="AR34" s="71">
        <f>IFERROR(VLOOKUP(A34,Climatologia_TMED!A:U,9+$E$2,FALSE),"")</f>
        <v>19.861806556333011</v>
      </c>
      <c r="AS34" s="71">
        <f t="shared" si="2"/>
        <v>1.7953363008098435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>
        <v>25.65</v>
      </c>
      <c r="Z35" s="56">
        <v>23.1</v>
      </c>
      <c r="AA35" s="56">
        <v>23.95</v>
      </c>
      <c r="AB35" s="56">
        <v>24.85</v>
      </c>
      <c r="AC35" s="56">
        <v>27.55</v>
      </c>
      <c r="AD35" s="56">
        <v>26.85</v>
      </c>
      <c r="AE35" s="56">
        <v>25.75</v>
      </c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21</v>
      </c>
      <c r="AQ35" s="71">
        <f t="shared" si="1"/>
        <v>25.277380952380955</v>
      </c>
      <c r="AR35" s="71">
        <f>IFERROR(VLOOKUP(A35,Climatologia_TMED!A:U,9+$E$2,FALSE),"")</f>
        <v>24.163939937062029</v>
      </c>
      <c r="AS35" s="71">
        <f t="shared" si="2"/>
        <v>1.1134410153189265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>
        <v>21.15</v>
      </c>
      <c r="Z36" s="56">
        <v>20.3</v>
      </c>
      <c r="AA36" s="56">
        <v>19.2</v>
      </c>
      <c r="AB36" s="56">
        <v>19.55</v>
      </c>
      <c r="AC36" s="56">
        <v>20</v>
      </c>
      <c r="AD36" s="56">
        <v>20.100000000000001</v>
      </c>
      <c r="AE36" s="56">
        <v>20.55</v>
      </c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21</v>
      </c>
      <c r="AQ36" s="71">
        <f t="shared" si="1"/>
        <v>20.135714285714286</v>
      </c>
      <c r="AR36" s="71">
        <f>IFERROR(VLOOKUP(A36,Climatologia_TMED!A:U,9+$E$2,FALSE),"")</f>
        <v>18.948390779307498</v>
      </c>
      <c r="AS36" s="71">
        <f t="shared" si="2"/>
        <v>1.1873235064067877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>
        <v>31.2</v>
      </c>
      <c r="Z37" s="56">
        <v>26.95</v>
      </c>
      <c r="AA37" s="56">
        <v>26.15</v>
      </c>
      <c r="AB37" s="56">
        <v>28.2</v>
      </c>
      <c r="AC37" s="56">
        <v>29.5</v>
      </c>
      <c r="AD37" s="56">
        <v>27.7</v>
      </c>
      <c r="AE37" s="56">
        <v>28.25</v>
      </c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21</v>
      </c>
      <c r="AQ37" s="71">
        <f t="shared" si="1"/>
        <v>27.978571428571428</v>
      </c>
      <c r="AR37" s="71">
        <f>IFERROR(VLOOKUP(A37,Climatologia_TMED!A:U,9+$E$2,FALSE),"")</f>
        <v>26.09341273397051</v>
      </c>
      <c r="AS37" s="71">
        <f t="shared" si="2"/>
        <v>1.8851586946009178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>
        <v>16.8</v>
      </c>
      <c r="Z38" s="56"/>
      <c r="AA38" s="56">
        <v>15.7</v>
      </c>
      <c r="AB38" s="56">
        <v>15.95</v>
      </c>
      <c r="AC38" s="56">
        <v>17.100000000000001</v>
      </c>
      <c r="AD38" s="56">
        <v>16.350000000000001</v>
      </c>
      <c r="AE38" s="56">
        <v>17.25</v>
      </c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20</v>
      </c>
      <c r="AQ38" s="71">
        <f t="shared" si="1"/>
        <v>16.235000000000003</v>
      </c>
      <c r="AR38" s="71">
        <f>IFERROR(VLOOKUP(A38,Climatologia_TMED!A:U,9+$E$2,FALSE),"")</f>
        <v>15.0852109133605</v>
      </c>
      <c r="AS38" s="71">
        <f t="shared" si="2"/>
        <v>1.1497890866395029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>
        <v>23.86666666666666</v>
      </c>
      <c r="Z39" s="56">
        <v>22.333333333333329</v>
      </c>
      <c r="AA39" s="56">
        <v>18.399999999999999</v>
      </c>
      <c r="AB39" s="56">
        <v>20.666666666666671</v>
      </c>
      <c r="AC39" s="56">
        <v>23.333333333333329</v>
      </c>
      <c r="AD39" s="56">
        <v>24.266666666666669</v>
      </c>
      <c r="AE39" s="56">
        <v>23.2</v>
      </c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21</v>
      </c>
      <c r="AQ39" s="71">
        <f t="shared" si="1"/>
        <v>23.104761904761897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>
        <v>25.86666666666666</v>
      </c>
      <c r="Z40" s="56">
        <v>25.333333333333329</v>
      </c>
      <c r="AA40" s="56">
        <v>20.266666666666669</v>
      </c>
      <c r="AB40" s="56"/>
      <c r="AC40" s="56">
        <v>25.6</v>
      </c>
      <c r="AD40" s="56">
        <v>24.8</v>
      </c>
      <c r="AE40" s="56">
        <v>26.2</v>
      </c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16</v>
      </c>
      <c r="AQ40" s="71">
        <f t="shared" si="1"/>
        <v>25.637499999999999</v>
      </c>
      <c r="AR40" s="71">
        <f>IFERROR(VLOOKUP(A40,Climatologia_TMED!A:U,9+$E$2,FALSE),"")</f>
        <v>22.98415856403572</v>
      </c>
      <c r="AS40" s="71">
        <f t="shared" si="2"/>
        <v>2.6533414359642791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>
        <v>19.399999999999999</v>
      </c>
      <c r="Z41" s="56">
        <v>19.8</v>
      </c>
      <c r="AA41" s="56">
        <v>18.533333333333331</v>
      </c>
      <c r="AB41" s="56">
        <v>20.2</v>
      </c>
      <c r="AC41" s="56">
        <v>20.100000000000001</v>
      </c>
      <c r="AD41" s="56">
        <v>20.2</v>
      </c>
      <c r="AE41" s="56">
        <v>19.866666666666671</v>
      </c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20</v>
      </c>
      <c r="AQ41" s="71">
        <f t="shared" si="1"/>
        <v>20.514999999999997</v>
      </c>
      <c r="AR41" s="71">
        <f>IFERROR(VLOOKUP(A41,Climatologia_TMED!A:U,9+$E$2,FALSE),"")</f>
        <v>18.50720543555942</v>
      </c>
      <c r="AS41" s="71">
        <f t="shared" si="2"/>
        <v>2.0077945644405766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>
        <v>28.75</v>
      </c>
      <c r="Z42" s="56">
        <v>28.05</v>
      </c>
      <c r="AA42" s="56">
        <v>25.8</v>
      </c>
      <c r="AB42" s="56">
        <v>28.3</v>
      </c>
      <c r="AC42" s="56">
        <v>28</v>
      </c>
      <c r="AD42" s="56">
        <v>28.4</v>
      </c>
      <c r="AE42" s="56">
        <v>28.4</v>
      </c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21</v>
      </c>
      <c r="AQ42" s="71">
        <f t="shared" si="1"/>
        <v>28.114285714285714</v>
      </c>
      <c r="AR42" s="71">
        <f>IFERROR(VLOOKUP(A42,Climatologia_TMED!A:U,9+$E$2,FALSE),"")</f>
        <v>27.517114695340499</v>
      </c>
      <c r="AS42" s="71">
        <f t="shared" si="2"/>
        <v>0.59717101894521463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>
        <v>29.9</v>
      </c>
      <c r="Z43" s="56">
        <v>28.85</v>
      </c>
      <c r="AA43" s="56">
        <v>26.7</v>
      </c>
      <c r="AB43" s="56">
        <v>28.4</v>
      </c>
      <c r="AC43" s="56">
        <v>29.95</v>
      </c>
      <c r="AD43" s="56">
        <v>29.75</v>
      </c>
      <c r="AE43" s="56">
        <v>30.9</v>
      </c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21</v>
      </c>
      <c r="AQ43" s="71">
        <f t="shared" si="1"/>
        <v>29.514285714285716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>
        <v>29.3</v>
      </c>
      <c r="Z44" s="56">
        <v>29.8</v>
      </c>
      <c r="AA44" s="56">
        <v>25.85</v>
      </c>
      <c r="AB44" s="56">
        <v>28.074999999999999</v>
      </c>
      <c r="AC44" s="56">
        <v>31.3</v>
      </c>
      <c r="AD44" s="56">
        <v>28.2</v>
      </c>
      <c r="AE44" s="56">
        <v>30.024999999999999</v>
      </c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21</v>
      </c>
      <c r="AQ44" s="71">
        <f t="shared" si="1"/>
        <v>28.789285714285718</v>
      </c>
      <c r="AR44" s="71">
        <f>IFERROR(VLOOKUP(A44,Climatologia_TMED!A:U,9+$E$2,FALSE),"")</f>
        <v>27.22851750737534</v>
      </c>
      <c r="AS44" s="71">
        <f t="shared" si="2"/>
        <v>1.5607682069103781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>
        <v>29.55</v>
      </c>
      <c r="Z45" s="56">
        <v>29.55</v>
      </c>
      <c r="AA45" s="56">
        <v>27.15</v>
      </c>
      <c r="AB45" s="56">
        <v>28.1</v>
      </c>
      <c r="AC45" s="56">
        <v>29.7</v>
      </c>
      <c r="AD45" s="56">
        <v>30.2</v>
      </c>
      <c r="AE45" s="56">
        <v>28.95</v>
      </c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21</v>
      </c>
      <c r="AQ45" s="71">
        <f t="shared" si="1"/>
        <v>29.245238095238101</v>
      </c>
      <c r="AR45" s="71">
        <f>IFERROR(VLOOKUP(A45,Climatologia_TMED!A:U,9+$E$2,FALSE),"")</f>
        <v>27.597106102685618</v>
      </c>
      <c r="AS45" s="71">
        <f t="shared" si="2"/>
        <v>1.6481319925524822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>
        <v>29.75</v>
      </c>
      <c r="Z46" s="56">
        <v>28.65</v>
      </c>
      <c r="AA46" s="56">
        <v>27.8</v>
      </c>
      <c r="AB46" s="56">
        <v>28.5</v>
      </c>
      <c r="AC46" s="56">
        <v>29.05</v>
      </c>
      <c r="AD46" s="56">
        <v>29</v>
      </c>
      <c r="AE46" s="56">
        <v>29.8</v>
      </c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21</v>
      </c>
      <c r="AQ46" s="71">
        <f t="shared" si="1"/>
        <v>28.989285714285707</v>
      </c>
      <c r="AR46" s="71">
        <f>IFERROR(VLOOKUP(A46,Climatologia_TMED!A:U,9+$E$2,FALSE),"")</f>
        <v>27.738976943755159</v>
      </c>
      <c r="AS46" s="71">
        <f t="shared" si="2"/>
        <v>1.2503087705305482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>
        <v>31.13333333333334</v>
      </c>
      <c r="Z47" s="56">
        <v>29.866666666666671</v>
      </c>
      <c r="AA47" s="56">
        <v>26.666666666666671</v>
      </c>
      <c r="AB47" s="56">
        <v>29.4</v>
      </c>
      <c r="AC47" s="56">
        <v>30.8</v>
      </c>
      <c r="AD47" s="56">
        <v>30.6</v>
      </c>
      <c r="AE47" s="56">
        <v>32.1</v>
      </c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19</v>
      </c>
      <c r="AQ47" s="71">
        <f t="shared" si="1"/>
        <v>30.185964912280699</v>
      </c>
      <c r="AR47" s="71">
        <f>IFERROR(VLOOKUP(A47,Climatologia_TMED!A:U,9+$E$2,FALSE),"")</f>
        <v>27.87742247854888</v>
      </c>
      <c r="AS47" s="71">
        <f t="shared" si="2"/>
        <v>2.3085424337318194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>
        <v>29.85</v>
      </c>
      <c r="Z50" s="56">
        <v>28.5</v>
      </c>
      <c r="AA50" s="56">
        <v>27.5</v>
      </c>
      <c r="AB50" s="56">
        <v>28.3</v>
      </c>
      <c r="AC50" s="56">
        <v>29.55</v>
      </c>
      <c r="AD50" s="56">
        <v>29.1</v>
      </c>
      <c r="AE50" s="56">
        <v>29.05</v>
      </c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21</v>
      </c>
      <c r="AQ50" s="71">
        <f t="shared" si="1"/>
        <v>29.176190476190477</v>
      </c>
      <c r="AR50" s="71">
        <f>IFERROR(VLOOKUP(A50,Climatologia_TMED!A:U,9+$E$2,FALSE),"")</f>
        <v>27.21920614995987</v>
      </c>
      <c r="AS50" s="71">
        <f t="shared" si="2"/>
        <v>1.9569843262306073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>
        <v>29.4</v>
      </c>
      <c r="Z53" s="56">
        <v>28.8</v>
      </c>
      <c r="AA53" s="56">
        <v>26.5</v>
      </c>
      <c r="AB53" s="56">
        <v>26.55</v>
      </c>
      <c r="AC53" s="56">
        <v>29.1</v>
      </c>
      <c r="AD53" s="56">
        <v>29.75</v>
      </c>
      <c r="AE53" s="56">
        <v>29.9</v>
      </c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21</v>
      </c>
      <c r="AQ53" s="71">
        <f t="shared" si="1"/>
        <v>28.949999999999996</v>
      </c>
      <c r="AR53" s="71">
        <f>IFERROR(VLOOKUP(A53,Climatologia_TMED!A:U,9+$E$2,FALSE),"")</f>
        <v>27.2190910764708</v>
      </c>
      <c r="AS53" s="71">
        <f t="shared" si="2"/>
        <v>1.7309089235291957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>
        <v>31.3</v>
      </c>
      <c r="Z54" s="56">
        <v>30.6</v>
      </c>
      <c r="AA54" s="56">
        <v>28</v>
      </c>
      <c r="AB54" s="56">
        <v>28.5</v>
      </c>
      <c r="AC54" s="56">
        <v>30.6</v>
      </c>
      <c r="AD54" s="56">
        <v>30.8</v>
      </c>
      <c r="AE54" s="56">
        <v>31.4</v>
      </c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21</v>
      </c>
      <c r="AQ54" s="71">
        <f t="shared" si="1"/>
        <v>30.226190476190474</v>
      </c>
      <c r="AR54" s="71">
        <f>IFERROR(VLOOKUP(A54,Climatologia_TMED!A:U,9+$E$2,FALSE),"")</f>
        <v>28.41139216335926</v>
      </c>
      <c r="AS54" s="71">
        <f t="shared" si="2"/>
        <v>1.8147983128312148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>
        <v>31</v>
      </c>
      <c r="Z55" s="56">
        <v>30.45</v>
      </c>
      <c r="AA55" s="56">
        <v>28.6</v>
      </c>
      <c r="AB55" s="56">
        <v>30.15</v>
      </c>
      <c r="AC55" s="56">
        <v>31.4</v>
      </c>
      <c r="AD55" s="56">
        <v>32.299999999999997</v>
      </c>
      <c r="AE55" s="56">
        <v>30.05</v>
      </c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20</v>
      </c>
      <c r="AQ55" s="71">
        <f t="shared" si="1"/>
        <v>30.559999999999995</v>
      </c>
      <c r="AR55" s="71">
        <f>IFERROR(VLOOKUP(A55,Climatologia_TMED!A:U,9+$E$2,FALSE),"")</f>
        <v>28.417502124868491</v>
      </c>
      <c r="AS55" s="71">
        <f t="shared" si="2"/>
        <v>2.1424978751315038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>
        <v>28.45</v>
      </c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14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>
        <v>29.45</v>
      </c>
      <c r="Z59" s="56">
        <v>29.8</v>
      </c>
      <c r="AA59" s="56">
        <v>27.85</v>
      </c>
      <c r="AB59" s="56">
        <v>28.2</v>
      </c>
      <c r="AC59" s="99">
        <v>29.05</v>
      </c>
      <c r="AD59" s="56">
        <v>31.2</v>
      </c>
      <c r="AE59" s="56">
        <v>28.25</v>
      </c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21</v>
      </c>
      <c r="AQ59" s="71">
        <f t="shared" si="1"/>
        <v>28.93809523809524</v>
      </c>
      <c r="AR59" s="71">
        <f>IFERROR(VLOOKUP(A59,Climatologia_TMED!A:U,9+$E$2,FALSE),"")</f>
        <v>27.95576397141701</v>
      </c>
      <c r="AS59" s="71">
        <f t="shared" si="2"/>
        <v>0.98233126667823001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7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>
        <v>27</v>
      </c>
      <c r="Z61" s="56">
        <v>26.8</v>
      </c>
      <c r="AA61" s="56">
        <v>24.6</v>
      </c>
      <c r="AB61" s="56">
        <v>27.55</v>
      </c>
      <c r="AC61" s="56">
        <v>27.6</v>
      </c>
      <c r="AD61" s="56">
        <v>28.45</v>
      </c>
      <c r="AE61" s="56">
        <v>25.9</v>
      </c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21</v>
      </c>
      <c r="AQ61" s="71">
        <f t="shared" si="1"/>
        <v>27.12619047619048</v>
      </c>
      <c r="AR61" s="71">
        <f>IFERROR(VLOOKUP(A61,Climatologia_TMED!A:U,9+$E$2,FALSE),"")</f>
        <v>26.14540821795481</v>
      </c>
      <c r="AS61" s="71">
        <f t="shared" si="2"/>
        <v>0.98078225823567067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>
        <v>26.733333333333331</v>
      </c>
      <c r="Z62" s="56">
        <v>25.2</v>
      </c>
      <c r="AA62" s="56">
        <v>25.333333333333329</v>
      </c>
      <c r="AB62" s="56">
        <v>25.6</v>
      </c>
      <c r="AC62" s="56">
        <v>27.733333333333331</v>
      </c>
      <c r="AD62" s="56">
        <v>27.2</v>
      </c>
      <c r="AE62" s="56">
        <v>27.8</v>
      </c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21</v>
      </c>
      <c r="AQ62" s="71">
        <f t="shared" si="1"/>
        <v>26.774603174603168</v>
      </c>
      <c r="AR62" s="71">
        <f>IFERROR(VLOOKUP(A62,Climatologia_TMED!A:U,9+$E$2,FALSE),"")</f>
        <v>25.12904940316772</v>
      </c>
      <c r="AS62" s="71">
        <f t="shared" si="2"/>
        <v>1.6455537714354485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>
        <v>25.05</v>
      </c>
      <c r="Y65" s="56">
        <v>26.7</v>
      </c>
      <c r="Z65" s="56">
        <v>25.2</v>
      </c>
      <c r="AA65" s="56">
        <v>24.6</v>
      </c>
      <c r="AB65" s="56">
        <v>26.35</v>
      </c>
      <c r="AC65" s="56">
        <v>26.95</v>
      </c>
      <c r="AD65" s="56">
        <v>26.3</v>
      </c>
      <c r="AE65" s="56">
        <v>25.05</v>
      </c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21</v>
      </c>
      <c r="AQ65" s="71">
        <f t="shared" si="1"/>
        <v>25.966666666666665</v>
      </c>
      <c r="AR65" s="71">
        <f>IFERROR(VLOOKUP(A65,Climatologia_TMED!A:U,9+$E$2,FALSE),"")</f>
        <v>25.359269039673709</v>
      </c>
      <c r="AS65" s="71">
        <f t="shared" si="2"/>
        <v>0.60739762699295596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>
        <v>24.2</v>
      </c>
      <c r="Z66" s="56">
        <v>25.55</v>
      </c>
      <c r="AA66" s="56">
        <v>27.35</v>
      </c>
      <c r="AB66" s="56">
        <v>27.2</v>
      </c>
      <c r="AC66" s="56">
        <v>27.1</v>
      </c>
      <c r="AD66" s="56">
        <v>26.15</v>
      </c>
      <c r="AE66" s="56">
        <v>24.7</v>
      </c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21</v>
      </c>
      <c r="AQ66" s="71">
        <f t="shared" si="1"/>
        <v>25.93809523809524</v>
      </c>
      <c r="AR66" s="71">
        <f>IFERROR(VLOOKUP(A66,Climatologia_TMED!A:U,9+$E$2,FALSE),"")</f>
        <v>25.449219842417062</v>
      </c>
      <c r="AS66" s="71">
        <f t="shared" si="2"/>
        <v>0.48887539567817839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>
        <v>27.7</v>
      </c>
      <c r="X67" s="56">
        <v>24.45</v>
      </c>
      <c r="Y67" s="56">
        <v>25.6</v>
      </c>
      <c r="Z67" s="56">
        <v>25.85</v>
      </c>
      <c r="AA67" s="56">
        <v>24</v>
      </c>
      <c r="AB67" s="56">
        <v>26.6</v>
      </c>
      <c r="AC67" s="56">
        <v>26.95</v>
      </c>
      <c r="AD67" s="56">
        <v>27.6</v>
      </c>
      <c r="AE67" s="56">
        <v>25.6</v>
      </c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20</v>
      </c>
      <c r="AQ67" s="71">
        <f t="shared" si="1"/>
        <v>26.324999999999999</v>
      </c>
      <c r="AR67" s="71">
        <f>IFERROR(VLOOKUP(A67,Climatologia_TMED!A:U,9+$E$2,FALSE),"")</f>
        <v>25.277101656093599</v>
      </c>
      <c r="AS67" s="71">
        <f t="shared" si="2"/>
        <v>1.0478983439064002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>
        <v>24.65</v>
      </c>
      <c r="Z68" s="56">
        <v>25.95</v>
      </c>
      <c r="AA68" s="56">
        <v>24.75</v>
      </c>
      <c r="AB68" s="56">
        <v>27.25</v>
      </c>
      <c r="AC68" s="56">
        <v>26.45</v>
      </c>
      <c r="AD68" s="56">
        <v>26.55</v>
      </c>
      <c r="AE68" s="56">
        <v>25.45</v>
      </c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21</v>
      </c>
      <c r="AQ68" s="71">
        <f t="shared" si="1"/>
        <v>25.74285714285714</v>
      </c>
      <c r="AR68" s="71">
        <f>IFERROR(VLOOKUP(A68,Climatologia_TMED!A:U,9+$E$2,FALSE),"")</f>
        <v>25.105050309426691</v>
      </c>
      <c r="AS68" s="71">
        <f t="shared" si="2"/>
        <v>0.63780683343044942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>
        <v>27.45</v>
      </c>
      <c r="Z69" s="56">
        <v>24.5</v>
      </c>
      <c r="AA69" s="56">
        <v>24.3</v>
      </c>
      <c r="AB69" s="56">
        <v>27.15</v>
      </c>
      <c r="AC69" s="56">
        <v>27.25</v>
      </c>
      <c r="AD69" s="56">
        <v>23.5</v>
      </c>
      <c r="AE69" s="56">
        <v>24.45</v>
      </c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21</v>
      </c>
      <c r="AQ69" s="71">
        <f t="shared" ref="AQ69:AQ132" si="4">IF(AP69&gt;14,AVERAGE(K69:AO69),"")</f>
        <v>25.476190476190474</v>
      </c>
      <c r="AR69" s="71">
        <f>IFERROR(VLOOKUP(A69,Climatologia_TMED!A:U,9+$E$2,FALSE),"")</f>
        <v>24.8597341342183</v>
      </c>
      <c r="AS69" s="71">
        <f t="shared" ref="AS69:AS132" si="5">IF(OR(AQ69="",AR69=""),"",IFERROR(AQ69-AR69,""))</f>
        <v>0.61645634197217447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>
        <v>28.666666666666671</v>
      </c>
      <c r="AC70" s="56">
        <v>29.13333333333334</v>
      </c>
      <c r="AD70" s="56">
        <v>27.533333333333331</v>
      </c>
      <c r="AE70" s="56">
        <v>27.733333333333331</v>
      </c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17</v>
      </c>
      <c r="AQ70" s="71">
        <f t="shared" si="4"/>
        <v>27.480392156862742</v>
      </c>
      <c r="AR70" s="71">
        <f>IFERROR(VLOOKUP(A70,Climatologia_TMED!A:U,9+$E$2,FALSE),"")</f>
        <v>26.28861277959394</v>
      </c>
      <c r="AS70" s="71">
        <f t="shared" si="5"/>
        <v>1.1917793772688015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>
        <v>26.266666666666669</v>
      </c>
      <c r="Z71" s="56">
        <v>26.233333333333331</v>
      </c>
      <c r="AA71" s="56">
        <v>25.63333333333334</v>
      </c>
      <c r="AB71" s="56">
        <v>27.2</v>
      </c>
      <c r="AC71" s="56">
        <v>26.7</v>
      </c>
      <c r="AD71" s="56">
        <v>27.166666666666671</v>
      </c>
      <c r="AE71" s="56">
        <v>26.43333333333333</v>
      </c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21</v>
      </c>
      <c r="AQ71" s="71">
        <f t="shared" si="4"/>
        <v>26.5015873015873</v>
      </c>
      <c r="AR71" s="71">
        <f>IFERROR(VLOOKUP(A71,Climatologia_TMED!A:U,9+$E$2,FALSE),"")</f>
        <v>26.117252164977831</v>
      </c>
      <c r="AS71" s="71">
        <f t="shared" si="5"/>
        <v>0.38433513660946872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>
        <v>26.466666666666669</v>
      </c>
      <c r="Z72" s="56">
        <v>26.2</v>
      </c>
      <c r="AA72" s="56">
        <v>26.266666666666669</v>
      </c>
      <c r="AB72" s="56">
        <v>26.733333333333331</v>
      </c>
      <c r="AC72" s="56">
        <v>25.533333333333331</v>
      </c>
      <c r="AD72" s="56">
        <v>26.56666666666667</v>
      </c>
      <c r="AE72" s="56">
        <v>25.93333333333333</v>
      </c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20</v>
      </c>
      <c r="AQ72" s="71">
        <f t="shared" si="4"/>
        <v>25.993333333333332</v>
      </c>
      <c r="AR72" s="71">
        <f>IFERROR(VLOOKUP(A72,Climatologia_TMED!A:U,9+$E$2,FALSE),"")</f>
        <v>25.27783516958878</v>
      </c>
      <c r="AS72" s="71">
        <f t="shared" si="5"/>
        <v>0.71549816374455233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>
        <v>27.7</v>
      </c>
      <c r="AD73" s="56">
        <v>27.5</v>
      </c>
      <c r="AE73" s="56">
        <v>26.2</v>
      </c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14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>
        <v>21.25</v>
      </c>
      <c r="Y74" s="56">
        <v>20.9</v>
      </c>
      <c r="Z74" s="56">
        <v>21.3</v>
      </c>
      <c r="AA74" s="56">
        <v>19.7</v>
      </c>
      <c r="AB74" s="56"/>
      <c r="AC74" s="56">
        <v>23.3</v>
      </c>
      <c r="AD74" s="56">
        <v>21.7</v>
      </c>
      <c r="AE74" s="56">
        <v>21.55</v>
      </c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20</v>
      </c>
      <c r="AQ74" s="71">
        <f t="shared" si="4"/>
        <v>21.375</v>
      </c>
      <c r="AR74" s="71">
        <f>IFERROR(VLOOKUP(A74,Climatologia_TMED!A:U,9+$E$2,FALSE),"")</f>
        <v>20.33780487249993</v>
      </c>
      <c r="AS74" s="71">
        <f t="shared" si="5"/>
        <v>1.0371951275000697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>
        <v>16.666666666666671</v>
      </c>
      <c r="AA75" s="56">
        <v>14.93333333333333</v>
      </c>
      <c r="AB75" s="56">
        <v>15.866666666666671</v>
      </c>
      <c r="AC75" s="56">
        <v>16.13333333333334</v>
      </c>
      <c r="AD75" s="56">
        <v>16.399999999999999</v>
      </c>
      <c r="AE75" s="56">
        <v>16.8</v>
      </c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20</v>
      </c>
      <c r="AQ75" s="71">
        <f t="shared" si="4"/>
        <v>15.903333333333332</v>
      </c>
      <c r="AR75" s="71">
        <f>IFERROR(VLOOKUP(A75,Climatologia_TMED!A:U,9+$E$2,FALSE),"")</f>
        <v>15.196816531610249</v>
      </c>
      <c r="AS75" s="71">
        <f t="shared" si="5"/>
        <v>0.70651680172308318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>
        <v>20.95</v>
      </c>
      <c r="Z76" s="56">
        <v>20.149999999999999</v>
      </c>
      <c r="AA76" s="56">
        <v>19.600000000000001</v>
      </c>
      <c r="AB76" s="56">
        <v>21.9</v>
      </c>
      <c r="AC76" s="56">
        <v>21.3</v>
      </c>
      <c r="AD76" s="56">
        <v>21.65</v>
      </c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20</v>
      </c>
      <c r="AQ76" s="71">
        <f t="shared" si="4"/>
        <v>20.767499999999995</v>
      </c>
      <c r="AR76" s="71">
        <f>IFERROR(VLOOKUP(A76,Climatologia_TMED!A:U,9+$E$2,FALSE),"")</f>
        <v>19.97314578052206</v>
      </c>
      <c r="AS76" s="71">
        <f t="shared" si="5"/>
        <v>0.79435421947793472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>
        <v>24.533333333333331</v>
      </c>
      <c r="Z77" s="56">
        <v>22.533333333333331</v>
      </c>
      <c r="AA77" s="56">
        <v>21.86666666666666</v>
      </c>
      <c r="AB77" s="56">
        <v>24.6</v>
      </c>
      <c r="AC77" s="56">
        <v>26.13333333333334</v>
      </c>
      <c r="AD77" s="56">
        <v>25.13333333333334</v>
      </c>
      <c r="AE77" s="56">
        <v>25.733333333333331</v>
      </c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21</v>
      </c>
      <c r="AQ77" s="71">
        <f t="shared" si="4"/>
        <v>24.777777777777775</v>
      </c>
      <c r="AR77" s="71">
        <f>IFERROR(VLOOKUP(A77,Climatologia_TMED!A:U,9+$E$2,FALSE),"")</f>
        <v>23.041557017477079</v>
      </c>
      <c r="AS77" s="71">
        <f t="shared" si="5"/>
        <v>1.7362207603006965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>
        <v>33</v>
      </c>
      <c r="Z78" s="56">
        <v>30.3</v>
      </c>
      <c r="AA78" s="56">
        <v>28.3</v>
      </c>
      <c r="AB78" s="56">
        <v>32.150000000000013</v>
      </c>
      <c r="AC78" s="56">
        <v>33.299999999999997</v>
      </c>
      <c r="AD78" s="56">
        <v>33.700000000000003</v>
      </c>
      <c r="AE78" s="56">
        <v>33.400000000000013</v>
      </c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21</v>
      </c>
      <c r="AQ78" s="71">
        <f t="shared" si="4"/>
        <v>32.238095238095234</v>
      </c>
      <c r="AR78" s="71">
        <f>IFERROR(VLOOKUP(A78,Climatologia_TMED!A:U,9+$E$2,FALSE),"")</f>
        <v>30.200545349460899</v>
      </c>
      <c r="AS78" s="71">
        <f t="shared" si="5"/>
        <v>2.0375498886343344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>
        <v>32.133333333333333</v>
      </c>
      <c r="Z79" s="56">
        <v>31.13333333333334</v>
      </c>
      <c r="AA79" s="56">
        <v>28.93333333333333</v>
      </c>
      <c r="AB79" s="56">
        <v>31.8</v>
      </c>
      <c r="AC79" s="56">
        <v>33.533333333333339</v>
      </c>
      <c r="AD79" s="56">
        <v>33.200000000000003</v>
      </c>
      <c r="AE79" s="56">
        <v>33.533333333333331</v>
      </c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21</v>
      </c>
      <c r="AQ79" s="71">
        <f t="shared" si="4"/>
        <v>31.834920634920632</v>
      </c>
      <c r="AR79" s="71">
        <f>IFERROR(VLOOKUP(A79,Climatologia_TMED!A:U,9+$E$2,FALSE),"")</f>
        <v>30.2833215669562</v>
      </c>
      <c r="AS79" s="71">
        <f t="shared" si="5"/>
        <v>1.5515990679644318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>
        <v>21.2</v>
      </c>
      <c r="Z80" s="56">
        <v>19.600000000000001</v>
      </c>
      <c r="AA80" s="56">
        <v>19.600000000000001</v>
      </c>
      <c r="AB80" s="56">
        <v>21.466666666666669</v>
      </c>
      <c r="AC80" s="56">
        <v>21.266666666666669</v>
      </c>
      <c r="AD80" s="56">
        <v>22.06666666666667</v>
      </c>
      <c r="AE80" s="56">
        <v>20.8</v>
      </c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21</v>
      </c>
      <c r="AQ80" s="71">
        <f t="shared" si="4"/>
        <v>21.212698412698415</v>
      </c>
      <c r="AR80" s="71">
        <f>IFERROR(VLOOKUP(A80,Climatologia_TMED!A:U,9+$E$2,FALSE),"")</f>
        <v>19.906859619029429</v>
      </c>
      <c r="AS80" s="71">
        <f t="shared" si="5"/>
        <v>1.3058387936689861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>
        <v>25.5</v>
      </c>
      <c r="Z81" s="56">
        <v>22.55</v>
      </c>
      <c r="AA81" s="56">
        <v>24.6</v>
      </c>
      <c r="AB81" s="56">
        <v>26.2</v>
      </c>
      <c r="AC81" s="56">
        <v>25.1</v>
      </c>
      <c r="AD81" s="56">
        <v>24.9</v>
      </c>
      <c r="AE81" s="56">
        <v>26.65</v>
      </c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21</v>
      </c>
      <c r="AQ81" s="71">
        <f t="shared" si="4"/>
        <v>25.12857142857143</v>
      </c>
      <c r="AR81" s="71">
        <f>IFERROR(VLOOKUP(A81,Climatologia_TMED!A:U,9+$E$2,FALSE),"")</f>
        <v>24.759854360077661</v>
      </c>
      <c r="AS81" s="71">
        <f t="shared" si="5"/>
        <v>0.36871706849376906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>
        <v>27.066666666666659</v>
      </c>
      <c r="Z82" s="56">
        <v>24</v>
      </c>
      <c r="AA82" s="56">
        <v>26.4</v>
      </c>
      <c r="AB82" s="56">
        <v>27.266666666666669</v>
      </c>
      <c r="AC82" s="56">
        <v>26.86666666666666</v>
      </c>
      <c r="AD82" s="56">
        <v>26.93333333333333</v>
      </c>
      <c r="AE82" s="56">
        <v>27.13333333333334</v>
      </c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20</v>
      </c>
      <c r="AQ82" s="71">
        <f t="shared" si="4"/>
        <v>26.696666666666665</v>
      </c>
      <c r="AR82" s="71">
        <f>IFERROR(VLOOKUP(A82,Climatologia_TMED!A:U,9+$E$2,FALSE),"")</f>
        <v>25.773428481765642</v>
      </c>
      <c r="AS82" s="71">
        <f t="shared" si="5"/>
        <v>0.92323818490102383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>
        <v>31.3</v>
      </c>
      <c r="Z85" s="56">
        <v>32.200000000000003</v>
      </c>
      <c r="AA85" s="56">
        <v>31.25</v>
      </c>
      <c r="AB85" s="56">
        <v>28.8</v>
      </c>
      <c r="AC85" s="56">
        <v>32.549999999999997</v>
      </c>
      <c r="AD85" s="56">
        <v>33.9</v>
      </c>
      <c r="AE85" s="56">
        <v>32.75</v>
      </c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21</v>
      </c>
      <c r="AQ85" s="71">
        <f t="shared" si="4"/>
        <v>32.088095238095242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>
        <v>30.25</v>
      </c>
      <c r="Z86" s="56">
        <v>31.25</v>
      </c>
      <c r="AA86" s="56"/>
      <c r="AB86" s="56"/>
      <c r="AC86" s="56">
        <v>31.65</v>
      </c>
      <c r="AD86" s="56">
        <v>31.3</v>
      </c>
      <c r="AE86" s="56">
        <v>29.7</v>
      </c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19</v>
      </c>
      <c r="AQ86" s="71">
        <f t="shared" si="4"/>
        <v>30.36315789473684</v>
      </c>
      <c r="AR86" s="71">
        <f>IFERROR(VLOOKUP(A86,Climatologia_TMED!A:U,9+$E$2,FALSE),"")</f>
        <v>28.83382033964488</v>
      </c>
      <c r="AS86" s="71">
        <f t="shared" si="5"/>
        <v>1.5293375550919599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>
        <v>33.049999999999997</v>
      </c>
      <c r="Z87" s="56">
        <v>30.85</v>
      </c>
      <c r="AA87" s="56"/>
      <c r="AB87" s="56"/>
      <c r="AC87" s="56">
        <v>27.65</v>
      </c>
      <c r="AD87" s="56">
        <v>31.95</v>
      </c>
      <c r="AE87" s="56">
        <v>31.65</v>
      </c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19</v>
      </c>
      <c r="AQ87" s="71">
        <f t="shared" si="4"/>
        <v>30.967105263157894</v>
      </c>
      <c r="AR87" s="71">
        <f>IFERROR(VLOOKUP(A87,Climatologia_TMED!A:U,9+$E$2,FALSE),"")</f>
        <v>28.894325312819621</v>
      </c>
      <c r="AS87" s="71">
        <f t="shared" si="5"/>
        <v>2.0727799503382727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>
        <v>30.85</v>
      </c>
      <c r="Z88" s="56">
        <v>31.15</v>
      </c>
      <c r="AA88" s="56">
        <v>29.65</v>
      </c>
      <c r="AB88" s="56">
        <v>30.7</v>
      </c>
      <c r="AC88" s="56">
        <v>31.65</v>
      </c>
      <c r="AD88" s="56">
        <v>31.05</v>
      </c>
      <c r="AE88" s="56">
        <v>31.75</v>
      </c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21</v>
      </c>
      <c r="AQ88" s="71">
        <f t="shared" si="4"/>
        <v>30.354761904761908</v>
      </c>
      <c r="AR88" s="71">
        <f>IFERROR(VLOOKUP(A88,Climatologia_TMED!A:U,9+$E$2,FALSE),"")</f>
        <v>28.344159946236552</v>
      </c>
      <c r="AS88" s="71">
        <f t="shared" si="5"/>
        <v>2.0106019585253563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>
        <v>35.799999999999997</v>
      </c>
      <c r="Z89" s="56">
        <v>30.55</v>
      </c>
      <c r="AA89" s="56">
        <v>29.9</v>
      </c>
      <c r="AB89" s="56">
        <v>30.55</v>
      </c>
      <c r="AC89" s="56">
        <v>31.75</v>
      </c>
      <c r="AD89" s="56">
        <v>33.950000000000003</v>
      </c>
      <c r="AE89" s="56">
        <v>34.299999999999997</v>
      </c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18</v>
      </c>
      <c r="AQ89" s="71">
        <f t="shared" si="4"/>
        <v>32.969444444444449</v>
      </c>
      <c r="AR89" s="71">
        <f>IFERROR(VLOOKUP(A89,Climatologia_TMED!A:U,9+$E$2,FALSE),"")</f>
        <v>29.044183635472439</v>
      </c>
      <c r="AS89" s="71">
        <f t="shared" si="5"/>
        <v>3.9252608089720091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>
        <v>32.75</v>
      </c>
      <c r="Z90" s="56">
        <v>31.95</v>
      </c>
      <c r="AA90" s="56">
        <v>29.9</v>
      </c>
      <c r="AB90" s="56">
        <v>28.3</v>
      </c>
      <c r="AC90" s="56">
        <v>31.475000000000001</v>
      </c>
      <c r="AD90" s="56">
        <v>32.549999999999997</v>
      </c>
      <c r="AE90" s="56">
        <v>32.35</v>
      </c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21</v>
      </c>
      <c r="AQ90" s="71">
        <f t="shared" si="4"/>
        <v>32.382142857142853</v>
      </c>
      <c r="AR90" s="71">
        <f>IFERROR(VLOOKUP(A90,Climatologia_TMED!A:U,9+$E$2,FALSE),"")</f>
        <v>28.656630487957131</v>
      </c>
      <c r="AS90" s="71">
        <f t="shared" si="5"/>
        <v>3.7255123691857222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>
        <v>34.6</v>
      </c>
      <c r="Z91" s="56">
        <v>34.299999999999997</v>
      </c>
      <c r="AA91" s="56">
        <v>31.2</v>
      </c>
      <c r="AB91" s="56">
        <v>27.9</v>
      </c>
      <c r="AC91" s="56">
        <v>31.75</v>
      </c>
      <c r="AD91" s="56">
        <v>28.9</v>
      </c>
      <c r="AE91" s="56">
        <v>30.55</v>
      </c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18</v>
      </c>
      <c r="AQ91" s="71">
        <f t="shared" si="4"/>
        <v>32.358333333333327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>
        <v>17</v>
      </c>
      <c r="Z92" s="56">
        <v>16.45</v>
      </c>
      <c r="AA92" s="56">
        <v>16.45</v>
      </c>
      <c r="AB92" s="56">
        <v>16.8</v>
      </c>
      <c r="AC92" s="56">
        <v>19.45</v>
      </c>
      <c r="AD92" s="56">
        <v>18.399999999999999</v>
      </c>
      <c r="AE92" s="56">
        <v>18</v>
      </c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21</v>
      </c>
      <c r="AQ92" s="71">
        <f t="shared" si="4"/>
        <v>17.88095238095238</v>
      </c>
      <c r="AR92" s="71">
        <f>IFERROR(VLOOKUP(A92,Climatologia_TMED!A:U,9+$E$2,FALSE),"")</f>
        <v>16.21673046594978</v>
      </c>
      <c r="AS92" s="71">
        <f t="shared" si="5"/>
        <v>1.6642219150025994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>
        <v>25.06666666666667</v>
      </c>
      <c r="Z93" s="56">
        <v>24.733333333333331</v>
      </c>
      <c r="AA93" s="56">
        <v>23</v>
      </c>
      <c r="AB93" s="56">
        <v>24.166666666666671</v>
      </c>
      <c r="AC93" s="56">
        <v>25.8</v>
      </c>
      <c r="AD93" s="56">
        <v>26.4</v>
      </c>
      <c r="AE93" s="56">
        <v>25.666666666666671</v>
      </c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21</v>
      </c>
      <c r="AQ93" s="71">
        <f t="shared" si="4"/>
        <v>24.887301587301586</v>
      </c>
      <c r="AR93" s="71">
        <f>IFERROR(VLOOKUP(A93,Climatologia_TMED!A:U,9+$E$2,FALSE),"")</f>
        <v>22.373011505376319</v>
      </c>
      <c r="AS93" s="71">
        <f t="shared" si="5"/>
        <v>2.5142900819252674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>
        <v>18.600000000000001</v>
      </c>
      <c r="Z94" s="56">
        <v>17.95</v>
      </c>
      <c r="AA94" s="56">
        <v>16.2</v>
      </c>
      <c r="AB94" s="56"/>
      <c r="AC94" s="56"/>
      <c r="AD94" s="56">
        <v>17.45</v>
      </c>
      <c r="AE94" s="56">
        <v>17.600000000000001</v>
      </c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19</v>
      </c>
      <c r="AQ94" s="71">
        <f t="shared" si="4"/>
        <v>17.594736842105263</v>
      </c>
      <c r="AR94" s="71">
        <f>IFERROR(VLOOKUP(A94,Climatologia_TMED!A:U,9+$E$2,FALSE),"")</f>
        <v>16.186325847907689</v>
      </c>
      <c r="AS94" s="71">
        <f t="shared" si="5"/>
        <v>1.408410994197574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>
        <v>15.6</v>
      </c>
      <c r="Z95" s="56">
        <v>16.899999999999999</v>
      </c>
      <c r="AA95" s="56">
        <v>15.6</v>
      </c>
      <c r="AB95" s="56">
        <v>15</v>
      </c>
      <c r="AC95" s="56">
        <v>15.15</v>
      </c>
      <c r="AD95" s="56">
        <v>14.85</v>
      </c>
      <c r="AE95" s="56">
        <v>15.65</v>
      </c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21</v>
      </c>
      <c r="AQ95" s="71">
        <f t="shared" si="4"/>
        <v>15.266666666666667</v>
      </c>
      <c r="AR95" s="71">
        <f>IFERROR(VLOOKUP(A95,Climatologia_TMED!A:U,9+$E$2,FALSE),"")</f>
        <v>13.65433628672837</v>
      </c>
      <c r="AS95" s="71">
        <f t="shared" si="5"/>
        <v>1.6123303799382978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>
        <v>17.86666666666666</v>
      </c>
      <c r="AD97" s="56">
        <v>16.86666666666666</v>
      </c>
      <c r="AE97" s="56">
        <v>15.25</v>
      </c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3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>
        <v>13.7</v>
      </c>
      <c r="Z98" s="56">
        <v>15.05</v>
      </c>
      <c r="AA98" s="56">
        <v>14.05</v>
      </c>
      <c r="AB98" s="56">
        <v>13.85</v>
      </c>
      <c r="AC98" s="56">
        <v>13.35</v>
      </c>
      <c r="AD98" s="56">
        <v>13.4</v>
      </c>
      <c r="AE98" s="56">
        <v>13.65</v>
      </c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21</v>
      </c>
      <c r="AQ98" s="71">
        <f t="shared" si="4"/>
        <v>13.140476190476189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>
        <v>16.266666666666669</v>
      </c>
      <c r="Z99" s="56">
        <v>14.133333333333329</v>
      </c>
      <c r="AA99" s="56">
        <v>15.53333333333333</v>
      </c>
      <c r="AB99" s="56">
        <v>13.96666666666667</v>
      </c>
      <c r="AC99" s="56">
        <v>15.8</v>
      </c>
      <c r="AD99" s="56">
        <v>15.5</v>
      </c>
      <c r="AE99" s="56">
        <v>14.766666666666669</v>
      </c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21</v>
      </c>
      <c r="AQ99" s="71">
        <f t="shared" si="4"/>
        <v>15.155555555555557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>
        <v>16.733333333333331</v>
      </c>
      <c r="Z100" s="56">
        <v>17</v>
      </c>
      <c r="AA100" s="56">
        <v>17.266666666666669</v>
      </c>
      <c r="AB100" s="56"/>
      <c r="AC100" s="56">
        <v>18.2</v>
      </c>
      <c r="AD100" s="56">
        <v>16.333333333333329</v>
      </c>
      <c r="AE100" s="56">
        <v>16.466666666666669</v>
      </c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20</v>
      </c>
      <c r="AQ100" s="71">
        <f t="shared" si="4"/>
        <v>16.130000000000003</v>
      </c>
      <c r="AR100" s="71">
        <f>IFERROR(VLOOKUP(A100,Climatologia_TMED!A:U,9+$E$2,FALSE),"")</f>
        <v>14.335275908930971</v>
      </c>
      <c r="AS100" s="71">
        <f t="shared" si="5"/>
        <v>1.7947240910690319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>
        <v>14.15</v>
      </c>
      <c r="Z101" s="56">
        <v>14.8</v>
      </c>
      <c r="AA101" s="56">
        <v>13.45</v>
      </c>
      <c r="AB101" s="56">
        <v>13.55</v>
      </c>
      <c r="AC101" s="56">
        <v>14.65</v>
      </c>
      <c r="AD101" s="56">
        <v>13.4</v>
      </c>
      <c r="AE101" s="56">
        <v>13.85</v>
      </c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21</v>
      </c>
      <c r="AQ101" s="71">
        <f t="shared" si="4"/>
        <v>13.56190476190476</v>
      </c>
      <c r="AR101" s="71">
        <f>IFERROR(VLOOKUP(A101,Climatologia_TMED!A:U,9+$E$2,FALSE),"")</f>
        <v>12.395793750638649</v>
      </c>
      <c r="AS101" s="71">
        <f t="shared" si="5"/>
        <v>1.1661110112661106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>
        <v>13.4</v>
      </c>
      <c r="Z102" s="56">
        <v>13.8</v>
      </c>
      <c r="AA102" s="56">
        <v>13.2</v>
      </c>
      <c r="AB102" s="56">
        <v>13.06666666666667</v>
      </c>
      <c r="AC102" s="56">
        <v>13.33333333333333</v>
      </c>
      <c r="AD102" s="56">
        <v>13.4</v>
      </c>
      <c r="AE102" s="56">
        <v>13.266666666666669</v>
      </c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18</v>
      </c>
      <c r="AQ102" s="71">
        <f t="shared" si="4"/>
        <v>13.122222222222224</v>
      </c>
      <c r="AR102" s="71">
        <f>IFERROR(VLOOKUP(A102,Climatologia_TMED!A:U,9+$E$2,FALSE),"")</f>
        <v>11.348393880387549</v>
      </c>
      <c r="AS102" s="71">
        <f t="shared" si="5"/>
        <v>1.7738283418346743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>
        <v>16.2</v>
      </c>
      <c r="AA105" s="56">
        <v>19.8</v>
      </c>
      <c r="AB105" s="56">
        <v>18</v>
      </c>
      <c r="AC105" s="56">
        <v>20.06666666666667</v>
      </c>
      <c r="AD105" s="56">
        <v>19.666666666666671</v>
      </c>
      <c r="AE105" s="56">
        <v>19.600000000000001</v>
      </c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17</v>
      </c>
      <c r="AQ105" s="71">
        <f t="shared" si="4"/>
        <v>18.886274509803926</v>
      </c>
      <c r="AR105" s="71">
        <f>IFERROR(VLOOKUP(A105,Climatologia_TMED!A:U,9+$E$2,FALSE),"")</f>
        <v>17.222389051882701</v>
      </c>
      <c r="AS105" s="71">
        <f t="shared" si="5"/>
        <v>1.663885457921225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>
        <v>13.16666666666667</v>
      </c>
      <c r="AB107" s="56">
        <v>13.8</v>
      </c>
      <c r="AC107" s="56">
        <v>13.133333333333329</v>
      </c>
      <c r="AD107" s="56">
        <v>13.866666666666671</v>
      </c>
      <c r="AE107" s="56">
        <v>14.933333333333341</v>
      </c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17</v>
      </c>
      <c r="AQ107" s="71">
        <f t="shared" si="4"/>
        <v>14.107843137254903</v>
      </c>
      <c r="AR107" s="71">
        <f>IFERROR(VLOOKUP(A107,Climatologia_TMED!A:U,9+$E$2,FALSE),"")</f>
        <v>13.6270649143767</v>
      </c>
      <c r="AS107" s="71">
        <f t="shared" si="5"/>
        <v>0.48077822287820382</v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14.7</v>
      </c>
      <c r="Y108" s="56">
        <v>13.75</v>
      </c>
      <c r="Z108" s="56">
        <v>16.8</v>
      </c>
      <c r="AA108" s="56">
        <v>15.75</v>
      </c>
      <c r="AB108" s="56">
        <v>14.65</v>
      </c>
      <c r="AC108" s="56">
        <v>11.7</v>
      </c>
      <c r="AD108" s="56">
        <v>13.85</v>
      </c>
      <c r="AE108" s="56">
        <v>13.4</v>
      </c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21</v>
      </c>
      <c r="AQ108" s="71">
        <f t="shared" si="4"/>
        <v>14.238095238095237</v>
      </c>
      <c r="AR108" s="71">
        <f>IFERROR(VLOOKUP(A108,Climatologia_TMED!A:U,9+$E$2,FALSE),"")</f>
        <v>14.24758963832916</v>
      </c>
      <c r="AS108" s="71">
        <f t="shared" si="5"/>
        <v>-9.4944002339225619E-3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>
        <v>15</v>
      </c>
      <c r="Z109" s="56">
        <v>15.6</v>
      </c>
      <c r="AA109" s="56">
        <v>14.85</v>
      </c>
      <c r="AB109" s="56">
        <v>15.2</v>
      </c>
      <c r="AC109" s="56">
        <v>15.15</v>
      </c>
      <c r="AD109" s="56">
        <v>14</v>
      </c>
      <c r="AE109" s="56">
        <v>14.55</v>
      </c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21</v>
      </c>
      <c r="AQ109" s="71">
        <f t="shared" si="4"/>
        <v>14.911904761904761</v>
      </c>
      <c r="AR109" s="71">
        <f>IFERROR(VLOOKUP(A109,Climatologia_TMED!A:U,9+$E$2,FALSE),"")</f>
        <v>13.718935791090621</v>
      </c>
      <c r="AS109" s="71">
        <f t="shared" si="5"/>
        <v>1.1929689708141407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>
        <v>17.600000000000001</v>
      </c>
      <c r="Z110" s="56">
        <v>18.733333333333331</v>
      </c>
      <c r="AA110" s="56">
        <v>16.533333333333331</v>
      </c>
      <c r="AB110" s="56">
        <v>17.8</v>
      </c>
      <c r="AC110" s="56">
        <v>18.666666666666671</v>
      </c>
      <c r="AD110" s="56">
        <v>18.8</v>
      </c>
      <c r="AE110" s="56">
        <v>17.600000000000001</v>
      </c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17</v>
      </c>
      <c r="AQ110" s="71">
        <f t="shared" si="4"/>
        <v>17.63529411764706</v>
      </c>
      <c r="AR110" s="71">
        <f>IFERROR(VLOOKUP(A110,Climatologia_TMED!A:U,9+$E$2,FALSE),"")</f>
        <v>17.072890642646779</v>
      </c>
      <c r="AS110" s="71">
        <f t="shared" si="5"/>
        <v>0.56240347500028065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>
        <v>16.86666666666666</v>
      </c>
      <c r="Z111" s="56">
        <v>17.600000000000001</v>
      </c>
      <c r="AA111" s="56">
        <v>16.399999999999999</v>
      </c>
      <c r="AB111" s="56">
        <v>16.266666666666669</v>
      </c>
      <c r="AC111" s="56">
        <v>16.93333333333333</v>
      </c>
      <c r="AD111" s="56">
        <v>16.533333333333331</v>
      </c>
      <c r="AE111" s="56">
        <v>16.666666666666671</v>
      </c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21</v>
      </c>
      <c r="AQ111" s="71">
        <f t="shared" si="4"/>
        <v>16.219047619047618</v>
      </c>
      <c r="AR111" s="71">
        <f>IFERROR(VLOOKUP(A111,Climatologia_TMED!A:U,9+$E$2,FALSE),"")</f>
        <v>15.45884618025514</v>
      </c>
      <c r="AS111" s="71">
        <f t="shared" si="5"/>
        <v>0.76020143879247826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>
        <v>17.93333333333333</v>
      </c>
      <c r="Z112" s="56">
        <v>19.399999999999999</v>
      </c>
      <c r="AA112" s="56">
        <v>17.3</v>
      </c>
      <c r="AB112" s="56">
        <v>18.93333333333333</v>
      </c>
      <c r="AC112" s="56">
        <v>19.333333333333329</v>
      </c>
      <c r="AD112" s="56">
        <v>19.533333333333331</v>
      </c>
      <c r="AE112" s="56">
        <v>18.466666666666669</v>
      </c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21</v>
      </c>
      <c r="AQ112" s="71">
        <f t="shared" si="4"/>
        <v>18.446031746031746</v>
      </c>
      <c r="AR112" s="71">
        <f>IFERROR(VLOOKUP(A112,Climatologia_TMED!A:U,9+$E$2,FALSE),"")</f>
        <v>16.69989368729069</v>
      </c>
      <c r="AS112" s="71">
        <f t="shared" si="5"/>
        <v>1.7461380587410567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>
        <v>19.466666666666669</v>
      </c>
      <c r="Z113" s="56">
        <v>20.399999999999999</v>
      </c>
      <c r="AA113" s="56">
        <v>18.600000000000001</v>
      </c>
      <c r="AB113" s="56">
        <v>19.866666666666671</v>
      </c>
      <c r="AC113" s="56"/>
      <c r="AD113" s="56">
        <v>19.666666666666671</v>
      </c>
      <c r="AE113" s="56">
        <v>18.93333333333333</v>
      </c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19</v>
      </c>
      <c r="AQ113" s="71">
        <f t="shared" si="4"/>
        <v>19.435087719298249</v>
      </c>
      <c r="AR113" s="71">
        <f>IFERROR(VLOOKUP(A113,Climatologia_TMED!A:U,9+$E$2,FALSE),"")</f>
        <v>18.084103151649959</v>
      </c>
      <c r="AS113" s="71">
        <f t="shared" si="5"/>
        <v>1.3509845676482897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>
        <v>22.86666666666666</v>
      </c>
      <c r="AC114" s="56">
        <v>22.733333333333331</v>
      </c>
      <c r="AD114" s="56">
        <v>22.466666666666669</v>
      </c>
      <c r="AE114" s="56">
        <v>21.8</v>
      </c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18</v>
      </c>
      <c r="AQ114" s="71">
        <f t="shared" si="4"/>
        <v>22.462962962962962</v>
      </c>
      <c r="AR114" s="71">
        <f>IFERROR(VLOOKUP(A114,Climatologia_TMED!A:U,9+$E$2,FALSE),"")</f>
        <v>20.406627759107511</v>
      </c>
      <c r="AS114" s="71">
        <f t="shared" si="5"/>
        <v>2.0563352038554505</v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>
        <v>27.1</v>
      </c>
      <c r="Z115" s="56">
        <v>26.7</v>
      </c>
      <c r="AA115" s="56">
        <v>26.65</v>
      </c>
      <c r="AB115" s="56">
        <v>28.75</v>
      </c>
      <c r="AC115" s="56">
        <v>29.2</v>
      </c>
      <c r="AD115" s="56">
        <v>28.05</v>
      </c>
      <c r="AE115" s="56">
        <v>26.55</v>
      </c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21</v>
      </c>
      <c r="AQ115" s="71">
        <f t="shared" si="4"/>
        <v>27.283333333333331</v>
      </c>
      <c r="AR115" s="71">
        <f>IFERROR(VLOOKUP(A115,Climatologia_TMED!A:U,9+$E$2,FALSE),"")</f>
        <v>26.548363201911549</v>
      </c>
      <c r="AS115" s="71">
        <f t="shared" si="5"/>
        <v>0.73497013142178247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>
        <v>19.93333333333333</v>
      </c>
      <c r="Z116" s="56">
        <v>19.06666666666667</v>
      </c>
      <c r="AA116" s="56">
        <v>19.399999999999999</v>
      </c>
      <c r="AB116" s="56">
        <v>19.266666666666669</v>
      </c>
      <c r="AC116" s="56">
        <v>19.666666666666671</v>
      </c>
      <c r="AD116" s="56">
        <v>19.733333333333331</v>
      </c>
      <c r="AE116" s="56">
        <v>18.533333333333331</v>
      </c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21</v>
      </c>
      <c r="AQ116" s="71">
        <f t="shared" si="4"/>
        <v>19.473015873015871</v>
      </c>
      <c r="AR116" s="71">
        <f>IFERROR(VLOOKUP(A116,Climatologia_TMED!A:U,9+$E$2,FALSE),"")</f>
        <v>18.451479726130369</v>
      </c>
      <c r="AS116" s="71">
        <f t="shared" si="5"/>
        <v>1.0215361468855022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>
        <v>26.4</v>
      </c>
      <c r="Z117" s="56">
        <v>26.533333333333331</v>
      </c>
      <c r="AA117" s="56">
        <v>26.6</v>
      </c>
      <c r="AB117" s="56">
        <v>28.2</v>
      </c>
      <c r="AC117" s="56"/>
      <c r="AD117" s="56"/>
      <c r="AE117" s="56">
        <v>26</v>
      </c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19</v>
      </c>
      <c r="AQ117" s="71">
        <f t="shared" si="4"/>
        <v>27.101754385964917</v>
      </c>
      <c r="AR117" s="71">
        <f>IFERROR(VLOOKUP(A117,Climatologia_TMED!A:U,9+$E$2,FALSE),"")</f>
        <v>25.726306451612881</v>
      </c>
      <c r="AS117" s="71">
        <f t="shared" si="5"/>
        <v>1.3754479343520352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>
        <v>29.06666666666667</v>
      </c>
      <c r="AB118" s="56">
        <v>29.86666666666666</v>
      </c>
      <c r="AC118" s="56">
        <v>30.6</v>
      </c>
      <c r="AD118" s="56">
        <v>33.4</v>
      </c>
      <c r="AE118" s="56">
        <v>29.666666666666671</v>
      </c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19</v>
      </c>
      <c r="AQ118" s="71">
        <f t="shared" si="4"/>
        <v>30.133333333333333</v>
      </c>
      <c r="AR118" s="71">
        <f>IFERROR(VLOOKUP(A118,Climatologia_TMED!A:U,9+$E$2,FALSE),"")</f>
        <v>26.064774193548381</v>
      </c>
      <c r="AS118" s="71">
        <f t="shared" si="5"/>
        <v>4.0685591397849521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>
        <v>24.666666666666671</v>
      </c>
      <c r="Z119" s="56">
        <v>23.8</v>
      </c>
      <c r="AA119" s="56"/>
      <c r="AB119" s="56">
        <v>24.266666666666669</v>
      </c>
      <c r="AC119" s="56">
        <v>24.6</v>
      </c>
      <c r="AD119" s="56">
        <v>23.666666666666671</v>
      </c>
      <c r="AE119" s="56">
        <v>24.93333333333333</v>
      </c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18</v>
      </c>
      <c r="AQ119" s="71">
        <f t="shared" si="4"/>
        <v>24.048148148148147</v>
      </c>
      <c r="AR119" s="71">
        <f>IFERROR(VLOOKUP(A119,Climatologia_TMED!A:U,9+$E$2,FALSE),"")</f>
        <v>22.097715053763402</v>
      </c>
      <c r="AS119" s="71">
        <f t="shared" si="5"/>
        <v>1.9504330943847457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>
        <v>27</v>
      </c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13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>
        <v>11.866666666666671</v>
      </c>
      <c r="Z122" s="56">
        <v>12.4</v>
      </c>
      <c r="AA122" s="56">
        <v>13</v>
      </c>
      <c r="AB122" s="56">
        <v>12.266666666666669</v>
      </c>
      <c r="AC122" s="56">
        <v>13</v>
      </c>
      <c r="AD122" s="56">
        <v>12.8</v>
      </c>
      <c r="AE122" s="56">
        <v>12.933333333333341</v>
      </c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21</v>
      </c>
      <c r="AQ122" s="71">
        <f t="shared" si="4"/>
        <v>12.634920634920636</v>
      </c>
      <c r="AR122" s="71">
        <f>IFERROR(VLOOKUP(A122,Climatologia_TMED!A:U,9+$E$2,FALSE),"")</f>
        <v>10.160420312062531</v>
      </c>
      <c r="AS122" s="71">
        <f t="shared" si="5"/>
        <v>2.4745003228581055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>
        <v>13.66666666666667</v>
      </c>
      <c r="Z124" s="56">
        <v>16.133333333333329</v>
      </c>
      <c r="AA124" s="56">
        <v>15.133333333333329</v>
      </c>
      <c r="AB124" s="56">
        <v>15.33333333333333</v>
      </c>
      <c r="AC124" s="56">
        <v>14.733333333333331</v>
      </c>
      <c r="AD124" s="56">
        <v>15.46666666666667</v>
      </c>
      <c r="AE124" s="56">
        <v>16.266666666666669</v>
      </c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20</v>
      </c>
      <c r="AQ124" s="71">
        <f t="shared" si="4"/>
        <v>15.479999999999999</v>
      </c>
      <c r="AR124" s="71">
        <f>IFERROR(VLOOKUP(A124,Climatologia_TMED!A:U,9+$E$2,FALSE),"")</f>
        <v>15.061040072324371</v>
      </c>
      <c r="AS124" s="71">
        <f t="shared" si="5"/>
        <v>0.41895992767562795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>
        <v>12.133333333333329</v>
      </c>
      <c r="Z126" s="56">
        <v>11.866666666666671</v>
      </c>
      <c r="AA126" s="56">
        <v>11.266666666666669</v>
      </c>
      <c r="AB126" s="56">
        <v>11.2</v>
      </c>
      <c r="AC126" s="56">
        <v>11.8</v>
      </c>
      <c r="AD126" s="56">
        <v>11.46666666666667</v>
      </c>
      <c r="AE126" s="56">
        <v>12.4</v>
      </c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15</v>
      </c>
      <c r="AQ126" s="71">
        <f t="shared" si="4"/>
        <v>11.47111111111111</v>
      </c>
      <c r="AR126" s="71">
        <f>IFERROR(VLOOKUP(A126,Climatologia_TMED!A:U,9+$E$2,FALSE),"")</f>
        <v>10.651018477594549</v>
      </c>
      <c r="AS126" s="71">
        <f t="shared" si="5"/>
        <v>0.82009263351656081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>
        <v>15.866666666666671</v>
      </c>
      <c r="U130" s="56">
        <v>15.4</v>
      </c>
      <c r="V130" s="56">
        <v>15.16666666666667</v>
      </c>
      <c r="W130" s="56">
        <v>15.566666666666659</v>
      </c>
      <c r="X130" s="56">
        <v>16.033333333333331</v>
      </c>
      <c r="Y130" s="56">
        <v>16.666666666666671</v>
      </c>
      <c r="Z130" s="56">
        <v>14.133333333333329</v>
      </c>
      <c r="AA130" s="56">
        <v>14.03333333333333</v>
      </c>
      <c r="AB130" s="56">
        <v>15.366666666666671</v>
      </c>
      <c r="AC130" s="56">
        <v>16.7</v>
      </c>
      <c r="AD130" s="56">
        <v>16.600000000000001</v>
      </c>
      <c r="AE130" s="56">
        <v>17.100000000000001</v>
      </c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21</v>
      </c>
      <c r="AQ130" s="71">
        <f t="shared" si="4"/>
        <v>15.695238095238096</v>
      </c>
      <c r="AR130" s="71">
        <f>IFERROR(VLOOKUP(A130,Climatologia_TMED!A:U,9+$E$2,FALSE),"")</f>
        <v>14.37068910561999</v>
      </c>
      <c r="AS130" s="71">
        <f t="shared" si="5"/>
        <v>1.3245489896181066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20.100000000000001</v>
      </c>
      <c r="T131" s="56">
        <v>19.2</v>
      </c>
      <c r="U131" s="56">
        <v>18.649999999999999</v>
      </c>
      <c r="V131" s="56">
        <v>17.5</v>
      </c>
      <c r="W131" s="56">
        <v>17.55</v>
      </c>
      <c r="X131" s="56">
        <v>18.75</v>
      </c>
      <c r="Y131" s="56">
        <v>19.2</v>
      </c>
      <c r="Z131" s="56">
        <v>16.45</v>
      </c>
      <c r="AA131" s="56">
        <v>17.8</v>
      </c>
      <c r="AB131" s="56">
        <v>18.2</v>
      </c>
      <c r="AC131" s="56"/>
      <c r="AD131" s="56">
        <v>17.95</v>
      </c>
      <c r="AE131" s="56">
        <v>19.649999999999999</v>
      </c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20</v>
      </c>
      <c r="AQ131" s="71">
        <f t="shared" si="4"/>
        <v>18.447499999999998</v>
      </c>
      <c r="AR131" s="71">
        <f>IFERROR(VLOOKUP(A131,Climatologia_TMED!A:U,9+$E$2,FALSE),"")</f>
        <v>17.018039759621502</v>
      </c>
      <c r="AS131" s="71">
        <f t="shared" si="5"/>
        <v>1.4294602403784964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>
        <v>13.46666666666667</v>
      </c>
      <c r="Z133" s="56">
        <v>13.8</v>
      </c>
      <c r="AA133" s="56">
        <v>13.46666666666667</v>
      </c>
      <c r="AB133" s="56">
        <v>14.33333333333333</v>
      </c>
      <c r="AC133" s="56">
        <v>13.66666666666667</v>
      </c>
      <c r="AD133" s="56">
        <v>13.6</v>
      </c>
      <c r="AE133" s="56">
        <v>14.06666666666667</v>
      </c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21</v>
      </c>
      <c r="AQ133" s="71">
        <f t="shared" ref="AQ133:AQ196" si="7">IF(AP133&gt;14,AVERAGE(K133:AO133),"")</f>
        <v>13.652380952380955</v>
      </c>
      <c r="AR133" s="71">
        <f>IFERROR(VLOOKUP(A133,Climatologia_TMED!A:U,9+$E$2,FALSE),"")</f>
        <v>12.632064451040261</v>
      </c>
      <c r="AS133" s="71">
        <f t="shared" ref="AS133:AS196" si="8">IF(OR(AQ133="",AR133=""),"",IFERROR(AQ133-AR133,""))</f>
        <v>1.0203165013406945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>
        <v>17.866666666666671</v>
      </c>
      <c r="Z134" s="56">
        <v>18.13333333333334</v>
      </c>
      <c r="AA134" s="56">
        <v>18.733333333333331</v>
      </c>
      <c r="AB134" s="56">
        <v>18.399999999999999</v>
      </c>
      <c r="AC134" s="56">
        <v>18</v>
      </c>
      <c r="AD134" s="56">
        <v>18.666666666666671</v>
      </c>
      <c r="AE134" s="56">
        <v>17.86666666666666</v>
      </c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21</v>
      </c>
      <c r="AQ134" s="71">
        <f t="shared" si="7"/>
        <v>17.815873015873017</v>
      </c>
      <c r="AR134" s="71">
        <f>IFERROR(VLOOKUP(A134,Climatologia_TMED!A:U,9+$E$2,FALSE),"")</f>
        <v>15.77617103004156</v>
      </c>
      <c r="AS134" s="71">
        <f t="shared" si="8"/>
        <v>2.0397019858314565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>
        <v>17.149999999999999</v>
      </c>
      <c r="AA135" s="56">
        <v>17.600000000000001</v>
      </c>
      <c r="AB135" s="56">
        <v>20.55</v>
      </c>
      <c r="AC135" s="56">
        <v>22.3</v>
      </c>
      <c r="AD135" s="56">
        <v>21.95</v>
      </c>
      <c r="AE135" s="56">
        <v>22.274999999999999</v>
      </c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20</v>
      </c>
      <c r="AQ135" s="71">
        <f t="shared" si="7"/>
        <v>20.974999999999998</v>
      </c>
      <c r="AR135" s="71">
        <f>IFERROR(VLOOKUP(A135,Climatologia_TMED!A:U,9+$E$2,FALSE),"")</f>
        <v>19.08404124452408</v>
      </c>
      <c r="AS135" s="71">
        <f t="shared" si="8"/>
        <v>1.8909587554759177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>
        <v>11.8</v>
      </c>
      <c r="Z136" s="56">
        <v>11.33333333333333</v>
      </c>
      <c r="AA136" s="56">
        <v>11.66666666666667</v>
      </c>
      <c r="AB136" s="56">
        <v>11.133333333333329</v>
      </c>
      <c r="AC136" s="56">
        <v>11</v>
      </c>
      <c r="AD136" s="56">
        <v>9.4666666666666668</v>
      </c>
      <c r="AE136" s="56">
        <v>10.866666666666671</v>
      </c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21</v>
      </c>
      <c r="AQ136" s="71">
        <f t="shared" si="7"/>
        <v>10.86984126984127</v>
      </c>
      <c r="AR136" s="71">
        <f>IFERROR(VLOOKUP(A136,Climatologia_TMED!A:U,9+$E$2,FALSE),"")</f>
        <v>10.862936379928311</v>
      </c>
      <c r="AS136" s="71">
        <f t="shared" si="8"/>
        <v>6.9048899129597885E-3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>
        <v>22.93333333333333</v>
      </c>
      <c r="Z138" s="56">
        <v>20.466666666666669</v>
      </c>
      <c r="AA138" s="56">
        <v>19.8</v>
      </c>
      <c r="AB138" s="56">
        <v>22.466666666666669</v>
      </c>
      <c r="AC138" s="56">
        <v>22.93333333333333</v>
      </c>
      <c r="AD138" s="56">
        <v>23.4</v>
      </c>
      <c r="AE138" s="56">
        <v>23.333333333333329</v>
      </c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20</v>
      </c>
      <c r="AQ138" s="71">
        <f t="shared" si="7"/>
        <v>22.533333333333331</v>
      </c>
      <c r="AR138" s="71">
        <f>IFERROR(VLOOKUP(A138,Climatologia_TMED!A:U,9+$E$2,FALSE),"")</f>
        <v>20.235550356930549</v>
      </c>
      <c r="AS138" s="71">
        <f t="shared" si="8"/>
        <v>2.2977829764027824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>
        <v>13.75</v>
      </c>
      <c r="Z139" s="56">
        <v>13.225</v>
      </c>
      <c r="AA139" s="56">
        <v>13.324999999999999</v>
      </c>
      <c r="AB139" s="56">
        <v>14.1</v>
      </c>
      <c r="AC139" s="56">
        <v>14.95</v>
      </c>
      <c r="AD139" s="56">
        <v>13.6</v>
      </c>
      <c r="AE139" s="56">
        <v>13.95</v>
      </c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21</v>
      </c>
      <c r="AQ139" s="71">
        <f t="shared" si="7"/>
        <v>13.723809523809523</v>
      </c>
      <c r="AR139" s="71">
        <f>IFERROR(VLOOKUP(A139,Climatologia_TMED!A:U,9+$E$2,FALSE),"")</f>
        <v>12.97471752858849</v>
      </c>
      <c r="AS139" s="71">
        <f t="shared" si="8"/>
        <v>0.74909199522103265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>
        <v>16.350000000000001</v>
      </c>
      <c r="Z140" s="56">
        <v>16</v>
      </c>
      <c r="AA140" s="56">
        <v>15.85</v>
      </c>
      <c r="AB140" s="56">
        <v>15.6</v>
      </c>
      <c r="AC140" s="56">
        <v>16.45</v>
      </c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19</v>
      </c>
      <c r="AQ140" s="71">
        <f t="shared" si="7"/>
        <v>16.418421052631579</v>
      </c>
      <c r="AR140" s="71">
        <f>IFERROR(VLOOKUP(A140,Climatologia_TMED!A:U,9+$E$2,FALSE),"")</f>
        <v>15.718876344086</v>
      </c>
      <c r="AS140" s="71">
        <f t="shared" si="8"/>
        <v>0.69954470854557904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>
        <v>12.66666666666667</v>
      </c>
      <c r="Z141" s="56">
        <v>14</v>
      </c>
      <c r="AA141" s="56">
        <v>13.2</v>
      </c>
      <c r="AB141" s="56">
        <v>13.4</v>
      </c>
      <c r="AC141" s="56">
        <v>13.66666666666667</v>
      </c>
      <c r="AD141" s="56">
        <v>12.866666666666671</v>
      </c>
      <c r="AE141" s="56">
        <v>13.266666666666669</v>
      </c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21</v>
      </c>
      <c r="AQ141" s="71">
        <f t="shared" si="7"/>
        <v>13.161904761904761</v>
      </c>
      <c r="AR141" s="71">
        <f>IFERROR(VLOOKUP(A141,Climatologia_TMED!A:U,9+$E$2,FALSE),"")</f>
        <v>11.969387238873461</v>
      </c>
      <c r="AS141" s="71">
        <f t="shared" si="8"/>
        <v>1.1925175230313005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>
        <v>12.85</v>
      </c>
      <c r="Z142" s="56"/>
      <c r="AA142" s="56">
        <v>11.1</v>
      </c>
      <c r="AB142" s="56">
        <v>11</v>
      </c>
      <c r="AC142" s="56">
        <v>11.9</v>
      </c>
      <c r="AD142" s="56">
        <v>10.25</v>
      </c>
      <c r="AE142" s="56">
        <v>11.65</v>
      </c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20</v>
      </c>
      <c r="AQ142" s="71">
        <f t="shared" si="7"/>
        <v>11.143749999999999</v>
      </c>
      <c r="AR142" s="71">
        <f>IFERROR(VLOOKUP(A142,Climatologia_TMED!A:U,9+$E$2,FALSE),"")</f>
        <v>10.49248004916649</v>
      </c>
      <c r="AS142" s="71">
        <f t="shared" si="8"/>
        <v>0.65126995083350891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>
        <v>27.933333333333341</v>
      </c>
      <c r="Z143" s="56">
        <v>26.266666666666669</v>
      </c>
      <c r="AA143" s="56">
        <v>26.8</v>
      </c>
      <c r="AB143" s="56">
        <v>28.333333333333329</v>
      </c>
      <c r="AC143" s="56">
        <v>28.4</v>
      </c>
      <c r="AD143" s="56">
        <v>28.86666666666666</v>
      </c>
      <c r="AE143" s="56">
        <v>29.266666666666669</v>
      </c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21</v>
      </c>
      <c r="AQ143" s="71">
        <f t="shared" si="7"/>
        <v>27.93650793650794</v>
      </c>
      <c r="AR143" s="71">
        <f>IFERROR(VLOOKUP(A143,Climatologia_TMED!A:U,9+$E$2,FALSE),"")</f>
        <v>25.992543202764971</v>
      </c>
      <c r="AS143" s="71">
        <f t="shared" si="8"/>
        <v>1.9439647337429697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>
        <v>16.133333333333329</v>
      </c>
      <c r="Y144" s="56">
        <v>16.399999999999999</v>
      </c>
      <c r="Z144" s="56">
        <v>17.333333333333329</v>
      </c>
      <c r="AA144" s="56">
        <v>16.333333333333329</v>
      </c>
      <c r="AB144" s="56">
        <v>16.399999999999999</v>
      </c>
      <c r="AC144" s="56">
        <v>17.333333333333329</v>
      </c>
      <c r="AD144" s="56">
        <v>17.399999999999999</v>
      </c>
      <c r="AE144" s="56">
        <v>17.2</v>
      </c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21</v>
      </c>
      <c r="AQ144" s="71">
        <f t="shared" si="7"/>
        <v>16.450793650793646</v>
      </c>
      <c r="AR144" s="71">
        <f>IFERROR(VLOOKUP(A144,Climatologia_TMED!A:U,9+$E$2,FALSE),"")</f>
        <v>15.9826099414474</v>
      </c>
      <c r="AS144" s="71">
        <f t="shared" si="8"/>
        <v>0.46818370934624554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>
        <v>19.733333333333331</v>
      </c>
      <c r="Z145" s="56">
        <v>20</v>
      </c>
      <c r="AA145" s="56">
        <v>20.266666666666669</v>
      </c>
      <c r="AB145" s="56">
        <v>20.266666666666669</v>
      </c>
      <c r="AC145" s="56">
        <v>22.3</v>
      </c>
      <c r="AD145" s="56">
        <v>19.93333333333333</v>
      </c>
      <c r="AE145" s="56">
        <v>21.2</v>
      </c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21</v>
      </c>
      <c r="AQ145" s="71">
        <f t="shared" si="7"/>
        <v>20.519047619047619</v>
      </c>
      <c r="AR145" s="71">
        <f>IFERROR(VLOOKUP(A145,Climatologia_TMED!A:U,9+$E$2,FALSE),"")</f>
        <v>19.40683329936412</v>
      </c>
      <c r="AS145" s="71">
        <f t="shared" si="8"/>
        <v>1.112214319683499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>
        <v>28.466666666666669</v>
      </c>
      <c r="Z146" s="56">
        <v>28.6</v>
      </c>
      <c r="AA146" s="56">
        <v>30.13333333333334</v>
      </c>
      <c r="AB146" s="56">
        <v>30.266666666666669</v>
      </c>
      <c r="AC146" s="56">
        <v>32.866666666666667</v>
      </c>
      <c r="AD146" s="56">
        <v>31.533333333333331</v>
      </c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20</v>
      </c>
      <c r="AQ146" s="71">
        <f t="shared" si="7"/>
        <v>31.139999999999997</v>
      </c>
      <c r="AR146" s="71">
        <f>IFERROR(VLOOKUP(A146,Climatologia_TMED!A:U,9+$E$2,FALSE),"")</f>
        <v>29.306317625921391</v>
      </c>
      <c r="AS146" s="71">
        <f t="shared" si="8"/>
        <v>1.8336823740786059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>
        <v>25.2</v>
      </c>
      <c r="Z147" s="56">
        <v>25.93333333333333</v>
      </c>
      <c r="AA147" s="56">
        <v>26.066666666666659</v>
      </c>
      <c r="AB147" s="56">
        <v>25.666666666666671</v>
      </c>
      <c r="AC147" s="56">
        <v>27.733333333333331</v>
      </c>
      <c r="AD147" s="56">
        <v>26.466666666666669</v>
      </c>
      <c r="AE147" s="56">
        <v>27.533333333333331</v>
      </c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21</v>
      </c>
      <c r="AQ147" s="71">
        <f t="shared" si="7"/>
        <v>26.4984126984127</v>
      </c>
      <c r="AR147" s="71">
        <f>IFERROR(VLOOKUP(A147,Climatologia_TMED!A:U,9+$E$2,FALSE),"")</f>
        <v>24.061574212155389</v>
      </c>
      <c r="AS147" s="71">
        <f t="shared" si="8"/>
        <v>2.4368384862573116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>
        <v>30.533333333333331</v>
      </c>
      <c r="Z148" s="56"/>
      <c r="AA148" s="56">
        <v>30.06666666666667</v>
      </c>
      <c r="AB148" s="56">
        <v>28.4</v>
      </c>
      <c r="AC148" s="56">
        <v>30.666666666666671</v>
      </c>
      <c r="AD148" s="56">
        <v>31</v>
      </c>
      <c r="AE148" s="56">
        <v>30.4</v>
      </c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19</v>
      </c>
      <c r="AQ148" s="71">
        <f t="shared" si="7"/>
        <v>30.894736842105264</v>
      </c>
      <c r="AR148" s="71">
        <f>IFERROR(VLOOKUP(A148,Climatologia_TMED!A:U,9+$E$2,FALSE),"")</f>
        <v>29.17936497960693</v>
      </c>
      <c r="AS148" s="71">
        <f t="shared" si="8"/>
        <v>1.7153718624983334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>
        <v>25.06666666666667</v>
      </c>
      <c r="Z149" s="56">
        <v>22.86666666666666</v>
      </c>
      <c r="AA149" s="56">
        <v>23.6</v>
      </c>
      <c r="AB149" s="56">
        <v>22.93333333333333</v>
      </c>
      <c r="AC149" s="56">
        <v>24.4</v>
      </c>
      <c r="AD149" s="56">
        <v>24</v>
      </c>
      <c r="AE149" s="56">
        <v>24.4</v>
      </c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21</v>
      </c>
      <c r="AQ149" s="71">
        <f t="shared" si="7"/>
        <v>24.295238095238098</v>
      </c>
      <c r="AR149" s="71">
        <f>IFERROR(VLOOKUP(A149,Climatologia_TMED!A:U,9+$E$2,FALSE),"")</f>
        <v>21.98128955804011</v>
      </c>
      <c r="AS149" s="71">
        <f t="shared" si="8"/>
        <v>2.3139485371979873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>
        <v>23.266666666666669</v>
      </c>
      <c r="AC151" s="56">
        <v>24.666666666666671</v>
      </c>
      <c r="AD151" s="56">
        <v>24.466666666666669</v>
      </c>
      <c r="AE151" s="56">
        <v>25.533333333333331</v>
      </c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18</v>
      </c>
      <c r="AQ151" s="71">
        <f t="shared" si="7"/>
        <v>24.440740740740743</v>
      </c>
      <c r="AR151" s="71">
        <f>IFERROR(VLOOKUP(A151,Climatologia_TMED!A:U,9+$E$2,FALSE),"")</f>
        <v>21.718227316119769</v>
      </c>
      <c r="AS151" s="71">
        <f t="shared" si="8"/>
        <v>2.7225134246209741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>
        <v>20.45</v>
      </c>
      <c r="Z154" s="56">
        <v>19.95</v>
      </c>
      <c r="AA154" s="56">
        <v>19.899999999999999</v>
      </c>
      <c r="AB154" s="56">
        <v>20.2</v>
      </c>
      <c r="AC154" s="56">
        <v>21.05</v>
      </c>
      <c r="AD154" s="56">
        <v>22</v>
      </c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20</v>
      </c>
      <c r="AQ154" s="71">
        <f t="shared" si="7"/>
        <v>21.137499999999996</v>
      </c>
      <c r="AR154" s="71">
        <f>IFERROR(VLOOKUP(A154,Climatologia_TMED!A:U,9+$E$2,FALSE),"")</f>
        <v>19.603370199692769</v>
      </c>
      <c r="AS154" s="71">
        <f t="shared" si="8"/>
        <v>1.5341298003072268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>
        <v>28.066666666666659</v>
      </c>
      <c r="Z155" s="56">
        <v>28.333333333333329</v>
      </c>
      <c r="AA155" s="56">
        <v>27.333333333333329</v>
      </c>
      <c r="AB155" s="56">
        <v>27.666666666666671</v>
      </c>
      <c r="AC155" s="56">
        <v>28.2</v>
      </c>
      <c r="AD155" s="56">
        <v>28.933333333333341</v>
      </c>
      <c r="AE155" s="56">
        <v>28</v>
      </c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20</v>
      </c>
      <c r="AQ155" s="71">
        <f t="shared" si="7"/>
        <v>29.03</v>
      </c>
      <c r="AR155" s="71">
        <f>IFERROR(VLOOKUP(A155,Climatologia_TMED!A:U,9+$E$2,FALSE),"")</f>
        <v>27.798082822950249</v>
      </c>
      <c r="AS155" s="71">
        <f t="shared" si="8"/>
        <v>1.2319171770497519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>
        <v>30.733333333333331</v>
      </c>
      <c r="Y157" s="56">
        <v>28.533333333333331</v>
      </c>
      <c r="Z157" s="56"/>
      <c r="AA157" s="56">
        <v>28.2</v>
      </c>
      <c r="AB157" s="56">
        <v>27.533333333333331</v>
      </c>
      <c r="AC157" s="56">
        <v>29.6</v>
      </c>
      <c r="AD157" s="56">
        <v>31.266666666666669</v>
      </c>
      <c r="AE157" s="56">
        <v>29.666666666666671</v>
      </c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19</v>
      </c>
      <c r="AQ157" s="71">
        <f t="shared" si="7"/>
        <v>30.133333333333333</v>
      </c>
      <c r="AR157" s="71">
        <f>IFERROR(VLOOKUP(A157,Climatologia_TMED!A:U,9+$E$2,FALSE),"")</f>
        <v>27.586074724019738</v>
      </c>
      <c r="AS157" s="71">
        <f t="shared" si="8"/>
        <v>2.5472586093135945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>
        <v>32.466666666666669</v>
      </c>
      <c r="Z158" s="56">
        <v>28.733333333333331</v>
      </c>
      <c r="AA158" s="56">
        <v>28.86666666666666</v>
      </c>
      <c r="AB158" s="56">
        <v>29</v>
      </c>
      <c r="AC158" s="56"/>
      <c r="AD158" s="56">
        <v>31.266666666666669</v>
      </c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19</v>
      </c>
      <c r="AQ158" s="71">
        <f t="shared" si="7"/>
        <v>30.722807017543861</v>
      </c>
      <c r="AR158" s="71">
        <f>IFERROR(VLOOKUP(A158,Climatologia_TMED!A:U,9+$E$2,FALSE),"")</f>
        <v>28.018688345149439</v>
      </c>
      <c r="AS158" s="71">
        <f t="shared" si="8"/>
        <v>2.7041186723944222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>
        <v>23.13333333333334</v>
      </c>
      <c r="Z159" s="56">
        <v>21.133333333333329</v>
      </c>
      <c r="AA159" s="56">
        <v>20.399999999999999</v>
      </c>
      <c r="AB159" s="56">
        <v>20.8</v>
      </c>
      <c r="AC159" s="56">
        <v>21.6</v>
      </c>
      <c r="AD159" s="56">
        <v>22.533333333333331</v>
      </c>
      <c r="AE159" s="56">
        <v>21.2</v>
      </c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21</v>
      </c>
      <c r="AQ159" s="71">
        <f t="shared" si="7"/>
        <v>21.333333333333332</v>
      </c>
      <c r="AR159" s="71">
        <f>IFERROR(VLOOKUP(A159,Climatologia_TMED!A:U,9+$E$2,FALSE),"")</f>
        <v>19.083052786798319</v>
      </c>
      <c r="AS159" s="71">
        <f t="shared" si="8"/>
        <v>2.2502805465350129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>
        <v>28.333333333333329</v>
      </c>
      <c r="Z160" s="56">
        <v>27.466666666666669</v>
      </c>
      <c r="AA160" s="56">
        <v>27</v>
      </c>
      <c r="AB160" s="56">
        <v>25.733333333333331</v>
      </c>
      <c r="AC160" s="56">
        <v>28.666666666666671</v>
      </c>
      <c r="AD160" s="56">
        <v>28</v>
      </c>
      <c r="AE160" s="56">
        <v>26.533333333333331</v>
      </c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19</v>
      </c>
      <c r="AQ160" s="71">
        <f t="shared" si="7"/>
        <v>27.698245614035088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>
        <v>21.466666666666669</v>
      </c>
      <c r="Y161" s="56">
        <v>20.13333333333334</v>
      </c>
      <c r="Z161" s="56">
        <v>20</v>
      </c>
      <c r="AA161" s="56">
        <v>18</v>
      </c>
      <c r="AB161" s="56"/>
      <c r="AC161" s="56">
        <v>19.466666666666669</v>
      </c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16</v>
      </c>
      <c r="AQ161" s="71">
        <f t="shared" si="7"/>
        <v>20.087499999999999</v>
      </c>
      <c r="AR161" s="71">
        <f>IFERROR(VLOOKUP(A161,Climatologia_TMED!A:U,9+$E$2,FALSE),"")</f>
        <v>17.518211901578969</v>
      </c>
      <c r="AS161" s="71">
        <f t="shared" si="8"/>
        <v>2.5692880984210298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>
        <v>29.666666666666671</v>
      </c>
      <c r="Z162" s="56">
        <v>28.666666666666671</v>
      </c>
      <c r="AA162" s="56">
        <v>28.2</v>
      </c>
      <c r="AB162" s="56">
        <v>27.93333333333333</v>
      </c>
      <c r="AC162" s="56">
        <v>28.533333333333331</v>
      </c>
      <c r="AD162" s="56">
        <v>29.066666666666659</v>
      </c>
      <c r="AE162" s="56">
        <v>29.4</v>
      </c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21</v>
      </c>
      <c r="AQ162" s="71">
        <f t="shared" si="7"/>
        <v>28.969841269841272</v>
      </c>
      <c r="AR162" s="71">
        <f>IFERROR(VLOOKUP(A162,Climatologia_TMED!A:U,9+$E$2,FALSE),"")</f>
        <v>28.49681537062899</v>
      </c>
      <c r="AS162" s="71">
        <f t="shared" si="8"/>
        <v>0.47302589921228133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>
        <v>21.733333333333331</v>
      </c>
      <c r="Z163" s="56">
        <v>21.466666666666669</v>
      </c>
      <c r="AA163" s="56">
        <v>21.666666666666671</v>
      </c>
      <c r="AB163" s="56">
        <v>20.93333333333333</v>
      </c>
      <c r="AC163" s="56">
        <v>21.86666666666666</v>
      </c>
      <c r="AD163" s="56">
        <v>22.6</v>
      </c>
      <c r="AE163" s="56">
        <v>22</v>
      </c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21</v>
      </c>
      <c r="AQ163" s="71">
        <f t="shared" si="7"/>
        <v>21.866666666666667</v>
      </c>
      <c r="AR163" s="71">
        <f>IFERROR(VLOOKUP(A163,Climatologia_TMED!A:U,9+$E$2,FALSE),"")</f>
        <v>21.304846458288491</v>
      </c>
      <c r="AS163" s="71">
        <f t="shared" si="8"/>
        <v>0.56182020837817603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26.8</v>
      </c>
      <c r="Y164" s="56">
        <v>26.2</v>
      </c>
      <c r="Z164" s="56">
        <v>25.85</v>
      </c>
      <c r="AA164" s="56">
        <v>25.15</v>
      </c>
      <c r="AB164" s="56">
        <v>24.75</v>
      </c>
      <c r="AC164" s="56">
        <v>25.3</v>
      </c>
      <c r="AD164" s="56">
        <v>26.5</v>
      </c>
      <c r="AE164" s="56">
        <v>26.2</v>
      </c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21</v>
      </c>
      <c r="AQ164" s="71">
        <f t="shared" si="7"/>
        <v>25.859523809523814</v>
      </c>
      <c r="AR164" s="71">
        <f>IFERROR(VLOOKUP(A164,Climatologia_TMED!A:U,9+$E$2,FALSE),"")</f>
        <v>23.886011584659681</v>
      </c>
      <c r="AS164" s="71">
        <f t="shared" si="8"/>
        <v>1.9735122248641339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>
        <v>15.133333333333329</v>
      </c>
      <c r="Z166" s="56">
        <v>14.733333333333331</v>
      </c>
      <c r="AA166" s="56">
        <v>15.33333333333333</v>
      </c>
      <c r="AB166" s="56">
        <v>14</v>
      </c>
      <c r="AC166" s="56">
        <v>15.8</v>
      </c>
      <c r="AD166" s="56">
        <v>14.866666666666671</v>
      </c>
      <c r="AE166" s="56">
        <v>15.06666666666667</v>
      </c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21</v>
      </c>
      <c r="AQ166" s="71">
        <f t="shared" si="7"/>
        <v>15.006349206349206</v>
      </c>
      <c r="AR166" s="71">
        <f>IFERROR(VLOOKUP(A166,Climatologia_TMED!A:U,9+$E$2,FALSE),"")</f>
        <v>13.59731182795695</v>
      </c>
      <c r="AS166" s="71">
        <f t="shared" si="8"/>
        <v>1.4090373783922558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>
        <v>21.666666666666671</v>
      </c>
      <c r="Z167" s="56">
        <v>21</v>
      </c>
      <c r="AA167" s="56">
        <v>20.399999999999999</v>
      </c>
      <c r="AB167" s="56">
        <v>19.466666666666669</v>
      </c>
      <c r="AC167" s="56">
        <v>21.733333333333331</v>
      </c>
      <c r="AD167" s="56">
        <v>21.666666666666671</v>
      </c>
      <c r="AE167" s="56">
        <v>21.2</v>
      </c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21</v>
      </c>
      <c r="AQ167" s="71">
        <f t="shared" si="7"/>
        <v>21.142857142857142</v>
      </c>
      <c r="AR167" s="71">
        <f>IFERROR(VLOOKUP(A167,Climatologia_TMED!A:U,9+$E$2,FALSE),"")</f>
        <v>19.132762427527378</v>
      </c>
      <c r="AS167" s="71">
        <f t="shared" si="8"/>
        <v>2.0100947153297639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>
        <v>29.85</v>
      </c>
      <c r="Z168" s="56">
        <v>26.8</v>
      </c>
      <c r="AA168" s="56">
        <v>25.9</v>
      </c>
      <c r="AB168" s="56">
        <v>26.35</v>
      </c>
      <c r="AC168" s="56">
        <v>27.45</v>
      </c>
      <c r="AD168" s="56">
        <v>27.95</v>
      </c>
      <c r="AE168" s="56">
        <v>29.45</v>
      </c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21</v>
      </c>
      <c r="AQ168" s="71">
        <f t="shared" si="7"/>
        <v>28.628571428571437</v>
      </c>
      <c r="AR168" s="71">
        <f>IFERROR(VLOOKUP(A168,Climatologia_TMED!A:U,9+$E$2,FALSE),"")</f>
        <v>26.11906044753972</v>
      </c>
      <c r="AS168" s="71">
        <f t="shared" si="8"/>
        <v>2.5095109810317169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>
        <v>9.5</v>
      </c>
      <c r="Z169" s="56">
        <v>10.75</v>
      </c>
      <c r="AA169" s="56">
        <v>9.6000000000000014</v>
      </c>
      <c r="AB169" s="56">
        <v>9.2000000000000011</v>
      </c>
      <c r="AC169" s="56">
        <v>9.6499999999999986</v>
      </c>
      <c r="AD169" s="56">
        <v>10</v>
      </c>
      <c r="AE169" s="56">
        <v>9.6000000000000014</v>
      </c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21</v>
      </c>
      <c r="AQ169" s="71">
        <f t="shared" si="7"/>
        <v>9.4833333333333325</v>
      </c>
      <c r="AR169" s="71">
        <f>IFERROR(VLOOKUP(A169,Climatologia_TMED!A:U,9+$E$2,FALSE),"")</f>
        <v>8.9418110731500597</v>
      </c>
      <c r="AS169" s="71">
        <f t="shared" si="8"/>
        <v>0.54152226018327276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>
        <v>25.666666666666671</v>
      </c>
      <c r="Z170" s="56">
        <v>24</v>
      </c>
      <c r="AA170" s="56">
        <v>25.6</v>
      </c>
      <c r="AB170" s="56">
        <v>26.266666666666669</v>
      </c>
      <c r="AC170" s="56">
        <v>27.6</v>
      </c>
      <c r="AD170" s="56">
        <v>25.06666666666667</v>
      </c>
      <c r="AE170" s="56">
        <v>24.4</v>
      </c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21</v>
      </c>
      <c r="AQ170" s="71">
        <f t="shared" si="7"/>
        <v>25.812698412698417</v>
      </c>
      <c r="AR170" s="71">
        <f>IFERROR(VLOOKUP(A170,Climatologia_TMED!A:U,9+$E$2,FALSE),"")</f>
        <v>24.395609944791921</v>
      </c>
      <c r="AS170" s="71">
        <f t="shared" si="8"/>
        <v>1.4170884679064955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>
        <v>22.133333333333329</v>
      </c>
      <c r="Z171" s="56">
        <v>19.600000000000001</v>
      </c>
      <c r="AA171" s="56"/>
      <c r="AB171" s="56">
        <v>21.6</v>
      </c>
      <c r="AC171" s="56">
        <v>22.6</v>
      </c>
      <c r="AD171" s="56">
        <v>22.266666666666669</v>
      </c>
      <c r="AE171" s="56">
        <v>22.8</v>
      </c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19</v>
      </c>
      <c r="AQ171" s="71">
        <f t="shared" si="7"/>
        <v>21.863157894736844</v>
      </c>
      <c r="AR171" s="71">
        <f>IFERROR(VLOOKUP(A171,Climatologia_TMED!A:U,9+$E$2,FALSE),"")</f>
        <v>19.277535015015289</v>
      </c>
      <c r="AS171" s="71">
        <f t="shared" si="8"/>
        <v>2.585622879721555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>
        <v>25.55</v>
      </c>
      <c r="Z172" s="56">
        <v>25.1</v>
      </c>
      <c r="AA172" s="56">
        <v>24.1</v>
      </c>
      <c r="AB172" s="56">
        <v>25.1</v>
      </c>
      <c r="AC172" s="56">
        <v>26.2</v>
      </c>
      <c r="AD172" s="56">
        <v>27.3</v>
      </c>
      <c r="AE172" s="56">
        <v>26.75</v>
      </c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19</v>
      </c>
      <c r="AQ172" s="71">
        <f t="shared" si="7"/>
        <v>25.946052631578947</v>
      </c>
      <c r="AR172" s="71">
        <f>IFERROR(VLOOKUP(A172,Climatologia_TMED!A:U,9+$E$2,FALSE),"")</f>
        <v>24.578876627051489</v>
      </c>
      <c r="AS172" s="71">
        <f t="shared" si="8"/>
        <v>1.3671760045274581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>
        <v>25.45</v>
      </c>
      <c r="Z173" s="56">
        <v>22.574999999999999</v>
      </c>
      <c r="AA173" s="56">
        <v>21.6</v>
      </c>
      <c r="AB173" s="56">
        <v>23.95</v>
      </c>
      <c r="AC173" s="56">
        <v>25.65</v>
      </c>
      <c r="AD173" s="56">
        <v>25.8</v>
      </c>
      <c r="AE173" s="56">
        <v>26.3</v>
      </c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21</v>
      </c>
      <c r="AQ173" s="71">
        <f t="shared" si="7"/>
        <v>25.203571428571429</v>
      </c>
      <c r="AR173" s="71">
        <f>IFERROR(VLOOKUP(A173,Climatologia_TMED!A:U,9+$E$2,FALSE),"")</f>
        <v>24.24334341397849</v>
      </c>
      <c r="AS173" s="71">
        <f t="shared" si="8"/>
        <v>0.96022801459293916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>
        <v>12.33333333333333</v>
      </c>
      <c r="Z174" s="56">
        <v>12.6</v>
      </c>
      <c r="AA174" s="56">
        <v>10.866666666666671</v>
      </c>
      <c r="AB174" s="56">
        <v>12.8</v>
      </c>
      <c r="AC174" s="56">
        <v>13.06666666666667</v>
      </c>
      <c r="AD174" s="56">
        <v>14.33333333333333</v>
      </c>
      <c r="AE174" s="56">
        <v>15</v>
      </c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21</v>
      </c>
      <c r="AQ174" s="71">
        <f t="shared" si="7"/>
        <v>13.387301587301589</v>
      </c>
      <c r="AR174" s="71">
        <f>IFERROR(VLOOKUP(A174,Climatologia_TMED!A:U,9+$E$2,FALSE),"")</f>
        <v>12.130348155415341</v>
      </c>
      <c r="AS174" s="71">
        <f t="shared" si="8"/>
        <v>1.2569534318862488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>
        <v>24.93333333333333</v>
      </c>
      <c r="N175" s="56">
        <v>24.2</v>
      </c>
      <c r="O175" s="56">
        <v>22.533333333333331</v>
      </c>
      <c r="P175" s="56">
        <v>25.86666666666666</v>
      </c>
      <c r="Q175" s="56">
        <v>25.4</v>
      </c>
      <c r="R175" s="56">
        <v>23.666666666666671</v>
      </c>
      <c r="S175" s="56">
        <v>24.733333333333331</v>
      </c>
      <c r="T175" s="56">
        <v>24.666666666666671</v>
      </c>
      <c r="U175" s="56">
        <v>26</v>
      </c>
      <c r="V175" s="56">
        <v>24</v>
      </c>
      <c r="W175" s="56">
        <v>24.6</v>
      </c>
      <c r="X175" s="56">
        <v>25.2</v>
      </c>
      <c r="Y175" s="56">
        <v>23.666666666666671</v>
      </c>
      <c r="Z175" s="56">
        <v>22.8</v>
      </c>
      <c r="AA175" s="56">
        <v>22.733333333333331</v>
      </c>
      <c r="AB175" s="56">
        <v>24.8</v>
      </c>
      <c r="AC175" s="56">
        <v>23.86666666666666</v>
      </c>
      <c r="AD175" s="56">
        <v>25.333333333333329</v>
      </c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20</v>
      </c>
      <c r="AQ175" s="71">
        <f t="shared" si="7"/>
        <v>24.580000000000002</v>
      </c>
      <c r="AR175" s="71">
        <f>IFERROR(VLOOKUP(A175,Climatologia_TMED!A:U,9+$E$2,FALSE),"")</f>
        <v>23.810002936419639</v>
      </c>
      <c r="AS175" s="71">
        <f t="shared" si="8"/>
        <v>0.76999706358036235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>
        <v>26.266666666666669</v>
      </c>
      <c r="Z178" s="56">
        <v>23.8</v>
      </c>
      <c r="AA178" s="56">
        <v>22.13333333333334</v>
      </c>
      <c r="AB178" s="56">
        <v>23.4</v>
      </c>
      <c r="AC178" s="56">
        <v>25.466666666666669</v>
      </c>
      <c r="AD178" s="56">
        <v>25.733333333333331</v>
      </c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20</v>
      </c>
      <c r="AQ178" s="71">
        <f t="shared" si="7"/>
        <v>25.593333333333327</v>
      </c>
      <c r="AR178" s="71">
        <f>IFERROR(VLOOKUP(A178,Climatologia_TMED!A:U,9+$E$2,FALSE),"")</f>
        <v>24.764281496732401</v>
      </c>
      <c r="AS178" s="71">
        <f t="shared" si="8"/>
        <v>0.82905183660092518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>
        <v>19.5</v>
      </c>
      <c r="Z179" s="56">
        <v>18.8</v>
      </c>
      <c r="AA179" s="56">
        <v>16.25</v>
      </c>
      <c r="AB179" s="56">
        <v>17.899999999999999</v>
      </c>
      <c r="AC179" s="56">
        <v>20.3</v>
      </c>
      <c r="AD179" s="56">
        <v>19.75</v>
      </c>
      <c r="AE179" s="56">
        <v>19.899999999999999</v>
      </c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20</v>
      </c>
      <c r="AQ179" s="71">
        <f t="shared" si="7"/>
        <v>19.037500000000001</v>
      </c>
      <c r="AR179" s="71">
        <f>IFERROR(VLOOKUP(A179,Climatologia_TMED!A:U,9+$E$2,FALSE),"")</f>
        <v>17.52263018923631</v>
      </c>
      <c r="AS179" s="71">
        <f t="shared" si="8"/>
        <v>1.5148698107636918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>
        <v>33.333333333333343</v>
      </c>
      <c r="Z181" s="56">
        <v>30.466666666666669</v>
      </c>
      <c r="AA181" s="56">
        <v>28.466666666666669</v>
      </c>
      <c r="AB181" s="56">
        <v>31</v>
      </c>
      <c r="AC181" s="56">
        <v>32.6</v>
      </c>
      <c r="AD181" s="56">
        <v>34</v>
      </c>
      <c r="AE181" s="56">
        <v>33</v>
      </c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21</v>
      </c>
      <c r="AQ181" s="71">
        <f t="shared" si="7"/>
        <v>32.111111111111114</v>
      </c>
      <c r="AR181" s="71">
        <f>IFERROR(VLOOKUP(A181,Climatologia_TMED!A:U,9+$E$2,FALSE),"")</f>
        <v>29.494520657328639</v>
      </c>
      <c r="AS181" s="71">
        <f t="shared" si="8"/>
        <v>2.6165904537824751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>
        <v>26.466666666666669</v>
      </c>
      <c r="AB184" s="56">
        <v>28.533333333333331</v>
      </c>
      <c r="AC184" s="56">
        <v>30.666666666666671</v>
      </c>
      <c r="AD184" s="56"/>
      <c r="AE184" s="56">
        <v>31.066666666666659</v>
      </c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12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>
        <v>30.86666666666666</v>
      </c>
      <c r="Z185" s="56">
        <v>28.13333333333334</v>
      </c>
      <c r="AA185" s="56">
        <v>26.86666666666666</v>
      </c>
      <c r="AB185" s="56">
        <v>29.733333333333331</v>
      </c>
      <c r="AC185" s="56"/>
      <c r="AD185" s="56"/>
      <c r="AE185" s="56">
        <v>32.200000000000003</v>
      </c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16</v>
      </c>
      <c r="AQ185" s="71">
        <f t="shared" si="7"/>
        <v>30.387499999999999</v>
      </c>
      <c r="AR185" s="71">
        <f>IFERROR(VLOOKUP(A185,Climatologia_TMED!A:U,9+$E$2,FALSE),"")</f>
        <v>28.426879526214119</v>
      </c>
      <c r="AS185" s="71">
        <f t="shared" si="8"/>
        <v>1.9606204737858803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>
        <v>18.600000000000001</v>
      </c>
      <c r="Z188" s="56">
        <v>16.333333333333329</v>
      </c>
      <c r="AA188" s="56">
        <v>15.266666666666669</v>
      </c>
      <c r="AB188" s="56">
        <v>16.06666666666667</v>
      </c>
      <c r="AC188" s="56">
        <v>19.266666666666669</v>
      </c>
      <c r="AD188" s="56"/>
      <c r="AE188" s="56">
        <v>18.133333333333329</v>
      </c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19</v>
      </c>
      <c r="AQ188" s="71">
        <f t="shared" si="7"/>
        <v>17.849122807017544</v>
      </c>
      <c r="AR188" s="71">
        <f>IFERROR(VLOOKUP(A188,Climatologia_TMED!A:U,9+$E$2,FALSE),"")</f>
        <v>16.219992677735171</v>
      </c>
      <c r="AS188" s="71">
        <f t="shared" si="8"/>
        <v>1.6291301292823732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>
        <v>30</v>
      </c>
      <c r="AB189" s="56">
        <v>30.8</v>
      </c>
      <c r="AC189" s="56">
        <v>33.533333333333331</v>
      </c>
      <c r="AD189" s="56">
        <v>34.6</v>
      </c>
      <c r="AE189" s="56">
        <v>33.866666666666667</v>
      </c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15</v>
      </c>
      <c r="AQ189" s="71">
        <f t="shared" si="7"/>
        <v>33.426666666666662</v>
      </c>
      <c r="AR189" s="71">
        <f>IFERROR(VLOOKUP(A189,Climatologia_TMED!A:U,9+$E$2,FALSE),"")</f>
        <v>30.520337316954809</v>
      </c>
      <c r="AS189" s="71">
        <f t="shared" si="8"/>
        <v>2.9063293497118536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>
        <v>32.133333333333333</v>
      </c>
      <c r="Y190" s="56"/>
      <c r="Z190" s="56">
        <v>30.733333333333331</v>
      </c>
      <c r="AA190" s="56">
        <v>30.533333333333331</v>
      </c>
      <c r="AB190" s="56">
        <v>30.333333333333329</v>
      </c>
      <c r="AC190" s="56">
        <v>32.4</v>
      </c>
      <c r="AD190" s="56"/>
      <c r="AE190" s="56">
        <v>32.133333333333333</v>
      </c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19</v>
      </c>
      <c r="AQ190" s="71">
        <f t="shared" si="7"/>
        <v>31.277192982456139</v>
      </c>
      <c r="AR190" s="71">
        <f>IFERROR(VLOOKUP(A190,Climatologia_TMED!A:U,9+$E$2,FALSE),"")</f>
        <v>29.552042558032198</v>
      </c>
      <c r="AS190" s="71">
        <f t="shared" si="8"/>
        <v>1.7251504244239406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>
        <v>20.3</v>
      </c>
      <c r="Z191" s="56">
        <v>18.45</v>
      </c>
      <c r="AA191" s="56">
        <v>18.3</v>
      </c>
      <c r="AB191" s="56">
        <v>18.100000000000001</v>
      </c>
      <c r="AC191" s="56">
        <v>19.75</v>
      </c>
      <c r="AD191" s="56">
        <v>20.6</v>
      </c>
      <c r="AE191" s="56">
        <v>19.7</v>
      </c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21</v>
      </c>
      <c r="AQ191" s="71">
        <f t="shared" si="7"/>
        <v>19.31904761904762</v>
      </c>
      <c r="AR191" s="71">
        <f>IFERROR(VLOOKUP(A191,Climatologia_TMED!A:U,9+$E$2,FALSE),"")</f>
        <v>17.464112079265011</v>
      </c>
      <c r="AS191" s="71">
        <f t="shared" si="8"/>
        <v>1.8549355397826091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>
        <v>27.266666666666669</v>
      </c>
      <c r="Z192" s="56">
        <v>25.86666666666666</v>
      </c>
      <c r="AA192" s="56">
        <v>25.666666666666671</v>
      </c>
      <c r="AB192" s="56">
        <v>27.466666666666669</v>
      </c>
      <c r="AC192" s="56">
        <v>26.333333333333329</v>
      </c>
      <c r="AD192" s="56">
        <v>27.333333333333329</v>
      </c>
      <c r="AE192" s="56">
        <v>28.86666666666666</v>
      </c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21</v>
      </c>
      <c r="AQ192" s="71">
        <f t="shared" si="7"/>
        <v>26.666666666666668</v>
      </c>
      <c r="AR192" s="71">
        <f>IFERROR(VLOOKUP(A192,Climatologia_TMED!A:U,9+$E$2,FALSE),"")</f>
        <v>25.598921067303831</v>
      </c>
      <c r="AS192" s="71">
        <f t="shared" si="8"/>
        <v>1.0677455993628371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>
        <v>30.3</v>
      </c>
      <c r="Z193" s="56">
        <v>26.95</v>
      </c>
      <c r="AA193" s="56">
        <v>25.95</v>
      </c>
      <c r="AB193" s="56">
        <v>29.2</v>
      </c>
      <c r="AC193" s="56">
        <v>29.3</v>
      </c>
      <c r="AD193" s="56">
        <v>29.75</v>
      </c>
      <c r="AE193" s="56">
        <v>30.55</v>
      </c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21</v>
      </c>
      <c r="AQ193" s="71">
        <f t="shared" si="7"/>
        <v>28.9</v>
      </c>
      <c r="AR193" s="71">
        <f>IFERROR(VLOOKUP(A193,Climatologia_TMED!A:U,9+$E$2,FALSE),"")</f>
        <v>26.876419518290088</v>
      </c>
      <c r="AS193" s="71">
        <f t="shared" si="8"/>
        <v>2.0235804817099101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>
        <v>22.733333333333331</v>
      </c>
      <c r="Z194" s="56">
        <v>21.2</v>
      </c>
      <c r="AA194" s="56">
        <v>20.8</v>
      </c>
      <c r="AB194" s="56">
        <v>20.86666666666666</v>
      </c>
      <c r="AC194" s="56">
        <v>21.6</v>
      </c>
      <c r="AD194" s="56">
        <v>23</v>
      </c>
      <c r="AE194" s="56">
        <v>23.4</v>
      </c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20</v>
      </c>
      <c r="AQ194" s="71">
        <f t="shared" si="7"/>
        <v>21.96</v>
      </c>
      <c r="AR194" s="71">
        <f>IFERROR(VLOOKUP(A194,Climatologia_TMED!A:U,9+$E$2,FALSE),"")</f>
        <v>21.92453935902186</v>
      </c>
      <c r="AS194" s="71">
        <f t="shared" si="8"/>
        <v>3.546064097814039E-2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>
        <v>30.13333333333334</v>
      </c>
      <c r="Z195" s="56"/>
      <c r="AA195" s="56">
        <v>25.333333333333329</v>
      </c>
      <c r="AB195" s="56"/>
      <c r="AC195" s="56"/>
      <c r="AD195" s="56">
        <v>30.266666666666669</v>
      </c>
      <c r="AE195" s="56">
        <v>30.13333333333334</v>
      </c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17</v>
      </c>
      <c r="AQ195" s="71">
        <f t="shared" si="7"/>
        <v>28.949019607843134</v>
      </c>
      <c r="AR195" s="71">
        <f>IFERROR(VLOOKUP(A195,Climatologia_TMED!A:U,9+$E$2,FALSE),"")</f>
        <v>25.93887423035611</v>
      </c>
      <c r="AS195" s="71">
        <f t="shared" si="8"/>
        <v>3.0101453774870244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>
        <v>23.333333333333329</v>
      </c>
      <c r="Z196" s="56">
        <v>21.266666666666669</v>
      </c>
      <c r="AA196" s="56">
        <v>20</v>
      </c>
      <c r="AB196" s="56">
        <v>19.93333333333333</v>
      </c>
      <c r="AC196" s="56">
        <v>24.333333333333329</v>
      </c>
      <c r="AD196" s="56">
        <v>24.8</v>
      </c>
      <c r="AE196" s="56">
        <v>24</v>
      </c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21</v>
      </c>
      <c r="AQ196" s="71">
        <f t="shared" si="7"/>
        <v>22.94285714285714</v>
      </c>
      <c r="AR196" s="71">
        <f>IFERROR(VLOOKUP(A196,Climatologia_TMED!A:U,9+$E$2,FALSE),"")</f>
        <v>20.501275507765811</v>
      </c>
      <c r="AS196" s="71">
        <f t="shared" si="8"/>
        <v>2.4415816350913282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>
        <v>28.13333333333334</v>
      </c>
      <c r="Z197" s="56">
        <v>24.06666666666667</v>
      </c>
      <c r="AA197" s="56">
        <v>25</v>
      </c>
      <c r="AB197" s="56">
        <v>25.266666666666669</v>
      </c>
      <c r="AC197" s="56">
        <v>28.333333333333329</v>
      </c>
      <c r="AD197" s="56">
        <v>29.13333333333334</v>
      </c>
      <c r="AE197" s="56">
        <v>27.666666666666671</v>
      </c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21</v>
      </c>
      <c r="AQ197" s="71">
        <f t="shared" ref="AQ197:AQ260" si="10">IF(AP197&gt;14,AVERAGE(K197:AO197),"")</f>
        <v>27.44285714285714</v>
      </c>
      <c r="AR197" s="71">
        <f>IFERROR(VLOOKUP(A197,Climatologia_TMED!A:U,9+$E$2,FALSE),"")</f>
        <v>24.669620158482161</v>
      </c>
      <c r="AS197" s="71">
        <f t="shared" ref="AS197:AS260" si="11">IF(OR(AQ197="",AR197=""),"",IFERROR(AQ197-AR197,""))</f>
        <v>2.7732369843749787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>
        <v>22.6</v>
      </c>
      <c r="Z198" s="56">
        <v>20.8</v>
      </c>
      <c r="AA198" s="56">
        <v>20.3</v>
      </c>
      <c r="AB198" s="56">
        <v>19.55</v>
      </c>
      <c r="AC198" s="56">
        <v>22.85</v>
      </c>
      <c r="AD198" s="56">
        <v>23.65</v>
      </c>
      <c r="AE198" s="56">
        <v>23</v>
      </c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21</v>
      </c>
      <c r="AQ198" s="71">
        <f t="shared" si="10"/>
        <v>22.226190476190478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>
        <v>17.2</v>
      </c>
      <c r="Z199" s="56">
        <v>15.93333333333333</v>
      </c>
      <c r="AA199" s="56">
        <v>16.06666666666667</v>
      </c>
      <c r="AB199" s="56">
        <v>15.866666666666671</v>
      </c>
      <c r="AC199" s="56">
        <v>17.399999999999999</v>
      </c>
      <c r="AD199" s="56">
        <v>16.93333333333333</v>
      </c>
      <c r="AE199" s="56">
        <v>16.533333333333331</v>
      </c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19</v>
      </c>
      <c r="AQ199" s="71">
        <f t="shared" si="10"/>
        <v>16.757894736842104</v>
      </c>
      <c r="AR199" s="71">
        <f>IFERROR(VLOOKUP(A199,Climatologia_TMED!A:U,9+$E$2,FALSE),"")</f>
        <v>15.9056050475294</v>
      </c>
      <c r="AS199" s="71">
        <f t="shared" si="11"/>
        <v>0.85228968931270366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>
        <v>13.85</v>
      </c>
      <c r="Z200" s="56">
        <v>12.55</v>
      </c>
      <c r="AA200" s="56">
        <v>13.65</v>
      </c>
      <c r="AB200" s="56">
        <v>14.5</v>
      </c>
      <c r="AC200" s="56">
        <v>15.1</v>
      </c>
      <c r="AD200" s="56">
        <v>14.95</v>
      </c>
      <c r="AE200" s="56">
        <v>15.9</v>
      </c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20</v>
      </c>
      <c r="AQ200" s="71">
        <f t="shared" si="10"/>
        <v>14.4475</v>
      </c>
      <c r="AR200" s="71">
        <f>IFERROR(VLOOKUP(A200,Climatologia_TMED!A:U,9+$E$2,FALSE),"")</f>
        <v>13.344977882388941</v>
      </c>
      <c r="AS200" s="71">
        <f t="shared" si="11"/>
        <v>1.1025221176110591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>
        <v>29.4</v>
      </c>
      <c r="Z201" s="56">
        <v>26.6</v>
      </c>
      <c r="AA201" s="56">
        <v>26.05</v>
      </c>
      <c r="AB201" s="56">
        <v>25.95</v>
      </c>
      <c r="AC201" s="56">
        <v>30.5</v>
      </c>
      <c r="AD201" s="56">
        <v>30.6</v>
      </c>
      <c r="AE201" s="56">
        <v>29.4</v>
      </c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21</v>
      </c>
      <c r="AQ201" s="71">
        <f t="shared" si="10"/>
        <v>28.514285714285712</v>
      </c>
      <c r="AR201" s="71">
        <f>IFERROR(VLOOKUP(A201,Climatologia_TMED!A:U,9+$E$2,FALSE),"")</f>
        <v>26.42009640850436</v>
      </c>
      <c r="AS201" s="71">
        <f t="shared" si="11"/>
        <v>2.0941893057813523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>
        <v>13.1</v>
      </c>
      <c r="Z202" s="56">
        <v>13.7</v>
      </c>
      <c r="AA202" s="56">
        <v>13.4</v>
      </c>
      <c r="AB202" s="56">
        <v>12.6</v>
      </c>
      <c r="AC202" s="56">
        <v>13.85</v>
      </c>
      <c r="AD202" s="56">
        <v>13.2</v>
      </c>
      <c r="AE202" s="56">
        <v>14.25</v>
      </c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21</v>
      </c>
      <c r="AQ202" s="71">
        <f t="shared" si="10"/>
        <v>13.038095238095236</v>
      </c>
      <c r="AR202" s="71">
        <f>IFERROR(VLOOKUP(A202,Climatologia_TMED!A:U,9+$E$2,FALSE),"")</f>
        <v>12.92387825817962</v>
      </c>
      <c r="AS202" s="71">
        <f t="shared" si="11"/>
        <v>0.11421697991561608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>
        <v>14.4</v>
      </c>
      <c r="AB203" s="56"/>
      <c r="AC203" s="56">
        <v>14.8</v>
      </c>
      <c r="AD203" s="56">
        <v>13.93333333333333</v>
      </c>
      <c r="AE203" s="56">
        <v>13.866666666666671</v>
      </c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18</v>
      </c>
      <c r="AQ203" s="71">
        <f t="shared" si="10"/>
        <v>14.159259259259262</v>
      </c>
      <c r="AR203" s="71">
        <f>IFERROR(VLOOKUP(A203,Climatologia_TMED!A:U,9+$E$2,FALSE),"")</f>
        <v>12.086069715466531</v>
      </c>
      <c r="AS203" s="71">
        <f t="shared" si="11"/>
        <v>2.073189543792731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>
        <v>15.15</v>
      </c>
      <c r="Y205" s="56">
        <v>16.05</v>
      </c>
      <c r="Z205" s="56">
        <v>14.6</v>
      </c>
      <c r="AA205" s="56">
        <v>15.3</v>
      </c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17</v>
      </c>
      <c r="AQ205" s="71">
        <f t="shared" si="10"/>
        <v>14.214705882352943</v>
      </c>
      <c r="AR205" s="71">
        <f>IFERROR(VLOOKUP(A205,Climatologia_TMED!A:U,9+$E$2,FALSE),"")</f>
        <v>13.43544585253456</v>
      </c>
      <c r="AS205" s="71">
        <f t="shared" si="11"/>
        <v>0.77926002981838316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>
        <v>14.25</v>
      </c>
      <c r="Z206" s="56">
        <v>11.7</v>
      </c>
      <c r="AA206" s="56">
        <v>13.45</v>
      </c>
      <c r="AB206" s="56">
        <v>13.1</v>
      </c>
      <c r="AC206" s="56">
        <v>14.05</v>
      </c>
      <c r="AD206" s="56">
        <v>13.75</v>
      </c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20</v>
      </c>
      <c r="AQ206" s="71">
        <f t="shared" si="10"/>
        <v>13.484999999999996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>
        <v>14.46666666666667</v>
      </c>
      <c r="AC207" s="56">
        <v>14.66666666666667</v>
      </c>
      <c r="AD207" s="56">
        <v>14.46666666666667</v>
      </c>
      <c r="AE207" s="56">
        <v>13.93333333333333</v>
      </c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11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>
        <v>13.8</v>
      </c>
      <c r="Z208" s="56">
        <v>14.25</v>
      </c>
      <c r="AA208" s="56">
        <v>13.95</v>
      </c>
      <c r="AB208" s="56">
        <v>13.3</v>
      </c>
      <c r="AC208" s="56">
        <v>15.25</v>
      </c>
      <c r="AD208" s="56">
        <v>14.55</v>
      </c>
      <c r="AE208" s="56">
        <v>11.55</v>
      </c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21</v>
      </c>
      <c r="AQ208" s="71">
        <f t="shared" si="10"/>
        <v>13.75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>
        <v>11.1</v>
      </c>
      <c r="Z209" s="56">
        <v>11.15</v>
      </c>
      <c r="AA209" s="56">
        <v>11.6</v>
      </c>
      <c r="AB209" s="56">
        <v>11.3</v>
      </c>
      <c r="AC209" s="56">
        <v>11.1</v>
      </c>
      <c r="AD209" s="56">
        <v>11.55</v>
      </c>
      <c r="AE209" s="56">
        <v>11.4</v>
      </c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21</v>
      </c>
      <c r="AQ209" s="71">
        <f t="shared" si="10"/>
        <v>11.126190476190478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>
        <v>16.7</v>
      </c>
      <c r="Z210" s="56">
        <v>17.3</v>
      </c>
      <c r="AA210" s="56">
        <v>15.55</v>
      </c>
      <c r="AB210" s="56">
        <v>15.75</v>
      </c>
      <c r="AC210" s="56">
        <v>15.7</v>
      </c>
      <c r="AD210" s="56">
        <v>16.149999999999999</v>
      </c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20</v>
      </c>
      <c r="AQ210" s="71">
        <f t="shared" si="10"/>
        <v>15.762499999999998</v>
      </c>
      <c r="AR210" s="71">
        <f>IFERROR(VLOOKUP(A210,Climatologia_TMED!A:U,9+$E$2,FALSE),"")</f>
        <v>14.343130840767889</v>
      </c>
      <c r="AS210" s="71">
        <f t="shared" si="11"/>
        <v>1.419369159232108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>
        <v>8.8500000000000014</v>
      </c>
      <c r="Z211" s="56">
        <v>9.1499999999999986</v>
      </c>
      <c r="AA211" s="56">
        <v>8.6999999999999993</v>
      </c>
      <c r="AB211" s="56">
        <v>8.4499999999999993</v>
      </c>
      <c r="AC211" s="56">
        <v>9.1499999999999986</v>
      </c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19</v>
      </c>
      <c r="AQ211" s="71">
        <f t="shared" si="10"/>
        <v>8.4184210526315777</v>
      </c>
      <c r="AR211" s="71">
        <f>IFERROR(VLOOKUP(A211,Climatologia_TMED!A:U,9+$E$2,FALSE),"")</f>
        <v>8.1491623782224423</v>
      </c>
      <c r="AS211" s="71">
        <f t="shared" si="11"/>
        <v>0.26925867440913542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>
        <v>27.7</v>
      </c>
      <c r="AB212" s="56">
        <v>27.25</v>
      </c>
      <c r="AC212" s="56">
        <v>27.5</v>
      </c>
      <c r="AD212" s="56">
        <v>27.45</v>
      </c>
      <c r="AE212" s="56">
        <v>26.9</v>
      </c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19</v>
      </c>
      <c r="AQ212" s="71">
        <f t="shared" si="10"/>
        <v>27.626315789473683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2026-08-22T15:14:38Z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2026-08-22T15:14:38Z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5a3ba000-9a08-4db2-aab8-b0d6193c00e3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