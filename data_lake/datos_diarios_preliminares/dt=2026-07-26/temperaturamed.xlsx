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C94B0A67-DCE3-4E23-AF83-63F37A42D43F}" xr6:coauthVersionLast="47" xr6:coauthVersionMax="47" xr10:uidLastSave="{00000000-0000-0000-0000-000000000000}"/>
  <bookViews>
    <workbookView xWindow="2868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Temperatura!$AF$1:$AF$212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S212" i="1" s="1"/>
  <c r="AR211" i="1"/>
  <c r="AP211" i="1"/>
  <c r="AQ211" i="1" s="1"/>
  <c r="AS211" i="1" s="1"/>
  <c r="AR210" i="1"/>
  <c r="AP210" i="1"/>
  <c r="AQ210" i="1" s="1"/>
  <c r="AS210" i="1" s="1"/>
  <c r="AR209" i="1"/>
  <c r="AQ209" i="1"/>
  <c r="AS209" i="1" s="1"/>
  <c r="AP209" i="1"/>
  <c r="AR208" i="1"/>
  <c r="AQ208" i="1"/>
  <c r="AS208" i="1" s="1"/>
  <c r="AP208" i="1"/>
  <c r="AR207" i="1"/>
  <c r="AP207" i="1"/>
  <c r="AQ207" i="1" s="1"/>
  <c r="AS207" i="1" s="1"/>
  <c r="AR206" i="1"/>
  <c r="AP206" i="1"/>
  <c r="AQ206" i="1" s="1"/>
  <c r="AS206" i="1" s="1"/>
  <c r="AR205" i="1"/>
  <c r="AQ205" i="1"/>
  <c r="AS205" i="1" s="1"/>
  <c r="AP205" i="1"/>
  <c r="AR204" i="1"/>
  <c r="AQ204" i="1"/>
  <c r="AS204" i="1" s="1"/>
  <c r="AP204" i="1"/>
  <c r="AR203" i="1"/>
  <c r="AQ203" i="1"/>
  <c r="AS203" i="1" s="1"/>
  <c r="AP203" i="1"/>
  <c r="AR202" i="1"/>
  <c r="AP202" i="1"/>
  <c r="AQ202" i="1" s="1"/>
  <c r="AS202" i="1" s="1"/>
  <c r="AR201" i="1"/>
  <c r="AP201" i="1"/>
  <c r="AQ201" i="1" s="1"/>
  <c r="AS201" i="1" s="1"/>
  <c r="AR200" i="1"/>
  <c r="AQ200" i="1"/>
  <c r="AS200" i="1" s="1"/>
  <c r="AP200" i="1"/>
  <c r="AR199" i="1"/>
  <c r="AQ199" i="1"/>
  <c r="AS199" i="1" s="1"/>
  <c r="AP199" i="1"/>
  <c r="AR198" i="1"/>
  <c r="AQ198" i="1"/>
  <c r="AS198" i="1" s="1"/>
  <c r="AP198" i="1"/>
  <c r="AR197" i="1"/>
  <c r="AP197" i="1"/>
  <c r="AQ197" i="1" s="1"/>
  <c r="AS197" i="1" s="1"/>
  <c r="AR196" i="1"/>
  <c r="AP196" i="1"/>
  <c r="AQ196" i="1" s="1"/>
  <c r="AS196" i="1" s="1"/>
  <c r="AR195" i="1"/>
  <c r="AQ195" i="1"/>
  <c r="AS195" i="1" s="1"/>
  <c r="AP195" i="1"/>
  <c r="AR194" i="1"/>
  <c r="AQ194" i="1"/>
  <c r="AS194" i="1" s="1"/>
  <c r="AP194" i="1"/>
  <c r="AR193" i="1"/>
  <c r="AQ193" i="1"/>
  <c r="AS193" i="1" s="1"/>
  <c r="AP193" i="1"/>
  <c r="AR192" i="1"/>
  <c r="AP192" i="1"/>
  <c r="AQ192" i="1" s="1"/>
  <c r="AS192" i="1" s="1"/>
  <c r="AR191" i="1"/>
  <c r="AP191" i="1"/>
  <c r="AQ191" i="1" s="1"/>
  <c r="AS191" i="1" s="1"/>
  <c r="AR190" i="1"/>
  <c r="AQ190" i="1"/>
  <c r="AS190" i="1" s="1"/>
  <c r="AP190" i="1"/>
  <c r="AR189" i="1"/>
  <c r="AQ189" i="1"/>
  <c r="AS189" i="1" s="1"/>
  <c r="AP189" i="1"/>
  <c r="AR188" i="1"/>
  <c r="AQ188" i="1"/>
  <c r="AS188" i="1" s="1"/>
  <c r="AP188" i="1"/>
  <c r="AR187" i="1"/>
  <c r="AP187" i="1"/>
  <c r="AQ187" i="1" s="1"/>
  <c r="AS187" i="1" s="1"/>
  <c r="AR186" i="1"/>
  <c r="AP186" i="1"/>
  <c r="AQ186" i="1" s="1"/>
  <c r="AS186" i="1" s="1"/>
  <c r="AR185" i="1"/>
  <c r="AQ185" i="1"/>
  <c r="AS185" i="1" s="1"/>
  <c r="AP185" i="1"/>
  <c r="AR184" i="1"/>
  <c r="AQ184" i="1"/>
  <c r="AS184" i="1" s="1"/>
  <c r="AP184" i="1"/>
  <c r="AR183" i="1"/>
  <c r="AQ183" i="1"/>
  <c r="AS183" i="1" s="1"/>
  <c r="AP183" i="1"/>
  <c r="AR182" i="1"/>
  <c r="AP182" i="1"/>
  <c r="AQ182" i="1" s="1"/>
  <c r="AS182" i="1" s="1"/>
  <c r="AR181" i="1"/>
  <c r="AP181" i="1"/>
  <c r="AQ181" i="1" s="1"/>
  <c r="AS181" i="1" s="1"/>
  <c r="AR180" i="1"/>
  <c r="AQ180" i="1"/>
  <c r="AS180" i="1" s="1"/>
  <c r="AP180" i="1"/>
  <c r="AR179" i="1"/>
  <c r="AQ179" i="1"/>
  <c r="AS179" i="1" s="1"/>
  <c r="AP179" i="1"/>
  <c r="AR178" i="1"/>
  <c r="AQ178" i="1"/>
  <c r="AS178" i="1" s="1"/>
  <c r="AP178" i="1"/>
  <c r="AR177" i="1"/>
  <c r="AP177" i="1"/>
  <c r="AQ177" i="1" s="1"/>
  <c r="AS177" i="1" s="1"/>
  <c r="AR176" i="1"/>
  <c r="AP176" i="1"/>
  <c r="AQ176" i="1" s="1"/>
  <c r="AS176" i="1" s="1"/>
  <c r="AR175" i="1"/>
  <c r="AQ175" i="1"/>
  <c r="AS175" i="1" s="1"/>
  <c r="AP175" i="1"/>
  <c r="AR174" i="1"/>
  <c r="AQ174" i="1"/>
  <c r="AS174" i="1" s="1"/>
  <c r="AP174" i="1"/>
  <c r="AR173" i="1"/>
  <c r="AQ173" i="1"/>
  <c r="AS173" i="1" s="1"/>
  <c r="AP173" i="1"/>
  <c r="AR172" i="1"/>
  <c r="AP172" i="1"/>
  <c r="AQ172" i="1" s="1"/>
  <c r="AS172" i="1" s="1"/>
  <c r="AR171" i="1"/>
  <c r="AP171" i="1"/>
  <c r="AQ171" i="1" s="1"/>
  <c r="AS171" i="1" s="1"/>
  <c r="AR170" i="1"/>
  <c r="AQ170" i="1"/>
  <c r="AS170" i="1" s="1"/>
  <c r="AP170" i="1"/>
  <c r="AR169" i="1"/>
  <c r="AQ169" i="1"/>
  <c r="AS169" i="1" s="1"/>
  <c r="AP169" i="1"/>
  <c r="AR168" i="1"/>
  <c r="AQ168" i="1"/>
  <c r="AS168" i="1" s="1"/>
  <c r="AP168" i="1"/>
  <c r="AR167" i="1"/>
  <c r="AP167" i="1"/>
  <c r="AQ167" i="1" s="1"/>
  <c r="AS167" i="1" s="1"/>
  <c r="AR166" i="1"/>
  <c r="AP166" i="1"/>
  <c r="AQ166" i="1" s="1"/>
  <c r="AS166" i="1" s="1"/>
  <c r="AR165" i="1"/>
  <c r="AQ165" i="1"/>
  <c r="AS165" i="1" s="1"/>
  <c r="AP165" i="1"/>
  <c r="AR164" i="1"/>
  <c r="AQ164" i="1"/>
  <c r="AS164" i="1" s="1"/>
  <c r="AP164" i="1"/>
  <c r="AR163" i="1"/>
  <c r="AQ163" i="1"/>
  <c r="AS163" i="1" s="1"/>
  <c r="AP163" i="1"/>
  <c r="AR162" i="1"/>
  <c r="AP162" i="1"/>
  <c r="AQ162" i="1" s="1"/>
  <c r="AS162" i="1" s="1"/>
  <c r="AR161" i="1"/>
  <c r="AP161" i="1"/>
  <c r="AQ161" i="1" s="1"/>
  <c r="AS161" i="1" s="1"/>
  <c r="AR160" i="1"/>
  <c r="AQ160" i="1"/>
  <c r="AS160" i="1" s="1"/>
  <c r="AP160" i="1"/>
  <c r="AR159" i="1"/>
  <c r="AQ159" i="1"/>
  <c r="AS159" i="1" s="1"/>
  <c r="AP159" i="1"/>
  <c r="AR158" i="1"/>
  <c r="AQ158" i="1"/>
  <c r="AS158" i="1" s="1"/>
  <c r="AP158" i="1"/>
  <c r="AR157" i="1"/>
  <c r="AP157" i="1"/>
  <c r="AQ157" i="1" s="1"/>
  <c r="AS157" i="1" s="1"/>
  <c r="AR156" i="1"/>
  <c r="AP156" i="1"/>
  <c r="AQ156" i="1" s="1"/>
  <c r="AS156" i="1" s="1"/>
  <c r="AR155" i="1"/>
  <c r="AQ155" i="1"/>
  <c r="AS155" i="1" s="1"/>
  <c r="AP155" i="1"/>
  <c r="AR154" i="1"/>
  <c r="AQ154" i="1"/>
  <c r="AS154" i="1" s="1"/>
  <c r="AP154" i="1"/>
  <c r="AR153" i="1"/>
  <c r="AQ153" i="1"/>
  <c r="AS153" i="1" s="1"/>
  <c r="AP153" i="1"/>
  <c r="AR152" i="1"/>
  <c r="AP152" i="1"/>
  <c r="AQ152" i="1" s="1"/>
  <c r="AS152" i="1" s="1"/>
  <c r="AR151" i="1"/>
  <c r="AP151" i="1"/>
  <c r="AQ151" i="1" s="1"/>
  <c r="AS151" i="1" s="1"/>
  <c r="AR150" i="1"/>
  <c r="AQ150" i="1"/>
  <c r="AS150" i="1" s="1"/>
  <c r="AP150" i="1"/>
  <c r="AR149" i="1"/>
  <c r="AQ149" i="1"/>
  <c r="AS149" i="1" s="1"/>
  <c r="AP149" i="1"/>
  <c r="AR148" i="1"/>
  <c r="AQ148" i="1"/>
  <c r="AS148" i="1" s="1"/>
  <c r="AP148" i="1"/>
  <c r="AR147" i="1"/>
  <c r="AP147" i="1"/>
  <c r="AQ147" i="1" s="1"/>
  <c r="AS147" i="1" s="1"/>
  <c r="AR146" i="1"/>
  <c r="AP146" i="1"/>
  <c r="AQ146" i="1" s="1"/>
  <c r="AS146" i="1" s="1"/>
  <c r="AR145" i="1"/>
  <c r="AQ145" i="1"/>
  <c r="AS145" i="1" s="1"/>
  <c r="AP145" i="1"/>
  <c r="AR144" i="1"/>
  <c r="AQ144" i="1"/>
  <c r="AS144" i="1" s="1"/>
  <c r="AP144" i="1"/>
  <c r="AR143" i="1"/>
  <c r="AQ143" i="1"/>
  <c r="AS143" i="1" s="1"/>
  <c r="AP143" i="1"/>
  <c r="AR142" i="1"/>
  <c r="AP142" i="1"/>
  <c r="AQ142" i="1" s="1"/>
  <c r="AS142" i="1" s="1"/>
  <c r="AR141" i="1"/>
  <c r="AP141" i="1"/>
  <c r="AQ141" i="1" s="1"/>
  <c r="AS141" i="1" s="1"/>
  <c r="AR140" i="1"/>
  <c r="AQ140" i="1"/>
  <c r="AS140" i="1" s="1"/>
  <c r="AP140" i="1"/>
  <c r="AR139" i="1"/>
  <c r="AQ139" i="1"/>
  <c r="AS139" i="1" s="1"/>
  <c r="AP139" i="1"/>
  <c r="AR138" i="1"/>
  <c r="AQ138" i="1"/>
  <c r="AS138" i="1" s="1"/>
  <c r="AP138" i="1"/>
  <c r="AR137" i="1"/>
  <c r="AP137" i="1"/>
  <c r="AQ137" i="1" s="1"/>
  <c r="AS137" i="1" s="1"/>
  <c r="AR136" i="1"/>
  <c r="AP136" i="1"/>
  <c r="AQ136" i="1" s="1"/>
  <c r="AS136" i="1" s="1"/>
  <c r="AR135" i="1"/>
  <c r="AQ135" i="1"/>
  <c r="AS135" i="1" s="1"/>
  <c r="AP135" i="1"/>
  <c r="AR134" i="1"/>
  <c r="AQ134" i="1"/>
  <c r="AS134" i="1" s="1"/>
  <c r="AP134" i="1"/>
  <c r="AR133" i="1"/>
  <c r="AQ133" i="1"/>
  <c r="AS133" i="1" s="1"/>
  <c r="AP133" i="1"/>
  <c r="AR132" i="1"/>
  <c r="AP132" i="1"/>
  <c r="AQ132" i="1" s="1"/>
  <c r="AS132" i="1" s="1"/>
  <c r="AR131" i="1"/>
  <c r="AP131" i="1"/>
  <c r="AQ131" i="1" s="1"/>
  <c r="AS131" i="1" s="1"/>
  <c r="AR130" i="1"/>
  <c r="AQ130" i="1"/>
  <c r="AS130" i="1" s="1"/>
  <c r="AP130" i="1"/>
  <c r="AR129" i="1"/>
  <c r="AQ129" i="1"/>
  <c r="AS129" i="1" s="1"/>
  <c r="AP129" i="1"/>
  <c r="AR128" i="1"/>
  <c r="AQ128" i="1"/>
  <c r="AS128" i="1" s="1"/>
  <c r="AP128" i="1"/>
  <c r="AR127" i="1"/>
  <c r="AP127" i="1"/>
  <c r="AQ127" i="1" s="1"/>
  <c r="AS127" i="1" s="1"/>
  <c r="AR126" i="1"/>
  <c r="AP126" i="1"/>
  <c r="AQ126" i="1" s="1"/>
  <c r="AS126" i="1" s="1"/>
  <c r="AR125" i="1"/>
  <c r="AQ125" i="1"/>
  <c r="AS125" i="1" s="1"/>
  <c r="AP125" i="1"/>
  <c r="AR124" i="1"/>
  <c r="AQ124" i="1"/>
  <c r="AS124" i="1" s="1"/>
  <c r="AP124" i="1"/>
  <c r="AR123" i="1"/>
  <c r="AQ123" i="1"/>
  <c r="AS123" i="1" s="1"/>
  <c r="AP123" i="1"/>
  <c r="AR122" i="1"/>
  <c r="AP122" i="1"/>
  <c r="AQ122" i="1" s="1"/>
  <c r="AS122" i="1" s="1"/>
  <c r="AR121" i="1"/>
  <c r="AP121" i="1"/>
  <c r="AQ121" i="1" s="1"/>
  <c r="AS121" i="1" s="1"/>
  <c r="AR120" i="1"/>
  <c r="AQ120" i="1"/>
  <c r="AS120" i="1" s="1"/>
  <c r="AP120" i="1"/>
  <c r="AR119" i="1"/>
  <c r="AQ119" i="1"/>
  <c r="AS119" i="1" s="1"/>
  <c r="AP119" i="1"/>
  <c r="AR118" i="1"/>
  <c r="AQ118" i="1"/>
  <c r="AS118" i="1" s="1"/>
  <c r="AP118" i="1"/>
  <c r="AR117" i="1"/>
  <c r="AP117" i="1"/>
  <c r="AQ117" i="1" s="1"/>
  <c r="AS117" i="1" s="1"/>
  <c r="AR116" i="1"/>
  <c r="AP116" i="1"/>
  <c r="AQ116" i="1" s="1"/>
  <c r="AS116" i="1" s="1"/>
  <c r="AR115" i="1"/>
  <c r="AQ115" i="1"/>
  <c r="AS115" i="1" s="1"/>
  <c r="AP115" i="1"/>
  <c r="AR114" i="1"/>
  <c r="AQ114" i="1"/>
  <c r="AS114" i="1" s="1"/>
  <c r="AP114" i="1"/>
  <c r="AR113" i="1"/>
  <c r="AQ113" i="1"/>
  <c r="AS113" i="1" s="1"/>
  <c r="AP113" i="1"/>
  <c r="AR112" i="1"/>
  <c r="AP112" i="1"/>
  <c r="AQ112" i="1" s="1"/>
  <c r="AS112" i="1" s="1"/>
  <c r="AR111" i="1"/>
  <c r="AP111" i="1"/>
  <c r="AQ111" i="1" s="1"/>
  <c r="AS111" i="1" s="1"/>
  <c r="AR110" i="1"/>
  <c r="AQ110" i="1"/>
  <c r="AS110" i="1" s="1"/>
  <c r="AP110" i="1"/>
  <c r="AR109" i="1"/>
  <c r="AQ109" i="1"/>
  <c r="AS109" i="1" s="1"/>
  <c r="AP109" i="1"/>
  <c r="AR108" i="1"/>
  <c r="AQ108" i="1"/>
  <c r="AS108" i="1" s="1"/>
  <c r="AP108" i="1"/>
  <c r="AR107" i="1"/>
  <c r="AP107" i="1"/>
  <c r="AQ107" i="1" s="1"/>
  <c r="AS107" i="1" s="1"/>
  <c r="AR106" i="1"/>
  <c r="AP106" i="1"/>
  <c r="AQ106" i="1" s="1"/>
  <c r="AS106" i="1" s="1"/>
  <c r="AR105" i="1"/>
  <c r="AQ105" i="1"/>
  <c r="AS105" i="1" s="1"/>
  <c r="AP105" i="1"/>
  <c r="AR104" i="1"/>
  <c r="AQ104" i="1"/>
  <c r="AS104" i="1" s="1"/>
  <c r="AP104" i="1"/>
  <c r="AR103" i="1"/>
  <c r="AQ103" i="1"/>
  <c r="AS103" i="1" s="1"/>
  <c r="AP103" i="1"/>
  <c r="AR102" i="1"/>
  <c r="AP102" i="1"/>
  <c r="AQ102" i="1" s="1"/>
  <c r="AS102" i="1" s="1"/>
  <c r="AR101" i="1"/>
  <c r="AP101" i="1"/>
  <c r="AQ101" i="1" s="1"/>
  <c r="AS101" i="1" s="1"/>
  <c r="AR100" i="1"/>
  <c r="AQ100" i="1"/>
  <c r="AS100" i="1" s="1"/>
  <c r="AP100" i="1"/>
  <c r="AR99" i="1"/>
  <c r="AQ99" i="1"/>
  <c r="AS99" i="1" s="1"/>
  <c r="AP99" i="1"/>
  <c r="AR98" i="1"/>
  <c r="AQ98" i="1"/>
  <c r="AS98" i="1" s="1"/>
  <c r="AP98" i="1"/>
  <c r="AR97" i="1"/>
  <c r="AP97" i="1"/>
  <c r="AQ97" i="1" s="1"/>
  <c r="AS97" i="1" s="1"/>
  <c r="AR96" i="1"/>
  <c r="AP96" i="1"/>
  <c r="AQ96" i="1" s="1"/>
  <c r="AS96" i="1" s="1"/>
  <c r="AR95" i="1"/>
  <c r="AQ95" i="1"/>
  <c r="AS95" i="1" s="1"/>
  <c r="AP95" i="1"/>
  <c r="AR94" i="1"/>
  <c r="AQ94" i="1"/>
  <c r="AS94" i="1" s="1"/>
  <c r="AP94" i="1"/>
  <c r="AR93" i="1"/>
  <c r="AQ93" i="1"/>
  <c r="AS93" i="1" s="1"/>
  <c r="AP93" i="1"/>
  <c r="AR92" i="1"/>
  <c r="AP92" i="1"/>
  <c r="AQ92" i="1" s="1"/>
  <c r="AS92" i="1" s="1"/>
  <c r="AR91" i="1"/>
  <c r="AP91" i="1"/>
  <c r="AQ91" i="1" s="1"/>
  <c r="AS91" i="1" s="1"/>
  <c r="AR90" i="1"/>
  <c r="AQ90" i="1"/>
  <c r="AS90" i="1" s="1"/>
  <c r="AP90" i="1"/>
  <c r="AR89" i="1"/>
  <c r="AQ89" i="1"/>
  <c r="AS89" i="1" s="1"/>
  <c r="AP89" i="1"/>
  <c r="AR88" i="1"/>
  <c r="AQ88" i="1"/>
  <c r="AS88" i="1" s="1"/>
  <c r="AP88" i="1"/>
  <c r="AR87" i="1"/>
  <c r="AP87" i="1"/>
  <c r="AQ87" i="1" s="1"/>
  <c r="AS87" i="1" s="1"/>
  <c r="AR86" i="1"/>
  <c r="AP86" i="1"/>
  <c r="AQ86" i="1" s="1"/>
  <c r="AS86" i="1" s="1"/>
  <c r="AR85" i="1"/>
  <c r="AQ85" i="1"/>
  <c r="AS85" i="1" s="1"/>
  <c r="AP85" i="1"/>
  <c r="AR84" i="1"/>
  <c r="AQ84" i="1"/>
  <c r="AS84" i="1" s="1"/>
  <c r="AP84" i="1"/>
  <c r="AR83" i="1"/>
  <c r="AQ83" i="1"/>
  <c r="AS83" i="1" s="1"/>
  <c r="AP83" i="1"/>
  <c r="AR82" i="1"/>
  <c r="AP82" i="1"/>
  <c r="AQ82" i="1" s="1"/>
  <c r="AS82" i="1" s="1"/>
  <c r="AR81" i="1"/>
  <c r="AP81" i="1"/>
  <c r="AQ81" i="1" s="1"/>
  <c r="AS81" i="1" s="1"/>
  <c r="AR80" i="1"/>
  <c r="AQ80" i="1"/>
  <c r="AS80" i="1" s="1"/>
  <c r="AP80" i="1"/>
  <c r="AR79" i="1"/>
  <c r="AQ79" i="1"/>
  <c r="AS79" i="1" s="1"/>
  <c r="AP79" i="1"/>
  <c r="AR78" i="1"/>
  <c r="AQ78" i="1"/>
  <c r="AS78" i="1" s="1"/>
  <c r="AP78" i="1"/>
  <c r="AR77" i="1"/>
  <c r="AP77" i="1"/>
  <c r="AQ77" i="1" s="1"/>
  <c r="AS77" i="1" s="1"/>
  <c r="AR76" i="1"/>
  <c r="AP76" i="1"/>
  <c r="AQ76" i="1" s="1"/>
  <c r="AS76" i="1" s="1"/>
  <c r="AR75" i="1"/>
  <c r="AQ75" i="1"/>
  <c r="AS75" i="1" s="1"/>
  <c r="AP75" i="1"/>
  <c r="AR74" i="1"/>
  <c r="AQ74" i="1"/>
  <c r="AS74" i="1" s="1"/>
  <c r="AP74" i="1"/>
  <c r="AR73" i="1"/>
  <c r="AQ73" i="1"/>
  <c r="AS73" i="1" s="1"/>
  <c r="AP73" i="1"/>
  <c r="AR72" i="1"/>
  <c r="AP72" i="1"/>
  <c r="AQ72" i="1" s="1"/>
  <c r="AS72" i="1" s="1"/>
  <c r="AR71" i="1"/>
  <c r="AP71" i="1"/>
  <c r="AQ71" i="1" s="1"/>
  <c r="AS71" i="1" s="1"/>
  <c r="AR70" i="1"/>
  <c r="AQ70" i="1"/>
  <c r="AS70" i="1" s="1"/>
  <c r="AP70" i="1"/>
  <c r="AR69" i="1"/>
  <c r="AQ69" i="1"/>
  <c r="AS69" i="1" s="1"/>
  <c r="AP69" i="1"/>
  <c r="AR68" i="1"/>
  <c r="AQ68" i="1"/>
  <c r="AS68" i="1" s="1"/>
  <c r="AP68" i="1"/>
  <c r="AR67" i="1"/>
  <c r="AP67" i="1"/>
  <c r="AQ67" i="1" s="1"/>
  <c r="AS67" i="1" s="1"/>
  <c r="AR66" i="1"/>
  <c r="AP66" i="1"/>
  <c r="AQ66" i="1" s="1"/>
  <c r="AS66" i="1" s="1"/>
  <c r="AR65" i="1"/>
  <c r="AQ65" i="1"/>
  <c r="AS65" i="1" s="1"/>
  <c r="AP65" i="1"/>
  <c r="AR64" i="1"/>
  <c r="AQ64" i="1"/>
  <c r="AS64" i="1" s="1"/>
  <c r="AP64" i="1"/>
  <c r="AR63" i="1"/>
  <c r="AQ63" i="1"/>
  <c r="AS63" i="1" s="1"/>
  <c r="AP63" i="1"/>
  <c r="AR62" i="1"/>
  <c r="AP62" i="1"/>
  <c r="AQ62" i="1" s="1"/>
  <c r="AS62" i="1" s="1"/>
  <c r="AR61" i="1"/>
  <c r="AP61" i="1"/>
  <c r="AQ61" i="1" s="1"/>
  <c r="AS61" i="1" s="1"/>
  <c r="AR60" i="1"/>
  <c r="AQ60" i="1"/>
  <c r="AS60" i="1" s="1"/>
  <c r="AP60" i="1"/>
  <c r="AR59" i="1"/>
  <c r="AQ59" i="1"/>
  <c r="AS59" i="1" s="1"/>
  <c r="AP59" i="1"/>
  <c r="AR58" i="1"/>
  <c r="AQ58" i="1"/>
  <c r="AS58" i="1" s="1"/>
  <c r="AP58" i="1"/>
  <c r="AR57" i="1"/>
  <c r="AP57" i="1"/>
  <c r="AQ57" i="1" s="1"/>
  <c r="AS57" i="1" s="1"/>
  <c r="AR56" i="1"/>
  <c r="AP56" i="1"/>
  <c r="AQ56" i="1" s="1"/>
  <c r="AS56" i="1" s="1"/>
  <c r="AR55" i="1"/>
  <c r="AQ55" i="1"/>
  <c r="AS55" i="1" s="1"/>
  <c r="AP55" i="1"/>
  <c r="AR54" i="1"/>
  <c r="AQ54" i="1"/>
  <c r="AS54" i="1" s="1"/>
  <c r="AP54" i="1"/>
  <c r="AR53" i="1"/>
  <c r="AQ53" i="1"/>
  <c r="AS53" i="1" s="1"/>
  <c r="AP53" i="1"/>
  <c r="AR52" i="1"/>
  <c r="AP52" i="1"/>
  <c r="AQ52" i="1" s="1"/>
  <c r="AS52" i="1" s="1"/>
  <c r="AR51" i="1"/>
  <c r="AP51" i="1"/>
  <c r="AQ51" i="1" s="1"/>
  <c r="AS51" i="1" s="1"/>
  <c r="AR50" i="1"/>
  <c r="AQ50" i="1"/>
  <c r="AS50" i="1" s="1"/>
  <c r="AP50" i="1"/>
  <c r="AR49" i="1"/>
  <c r="AQ49" i="1"/>
  <c r="AS49" i="1" s="1"/>
  <c r="AP49" i="1"/>
  <c r="AR48" i="1"/>
  <c r="AQ48" i="1"/>
  <c r="AS48" i="1" s="1"/>
  <c r="AP48" i="1"/>
  <c r="AR47" i="1"/>
  <c r="AP47" i="1"/>
  <c r="AQ47" i="1" s="1"/>
  <c r="AS47" i="1" s="1"/>
  <c r="AR46" i="1"/>
  <c r="AP46" i="1"/>
  <c r="AQ46" i="1" s="1"/>
  <c r="AS46" i="1" s="1"/>
  <c r="AR45" i="1"/>
  <c r="AQ45" i="1"/>
  <c r="AS45" i="1" s="1"/>
  <c r="AP45" i="1"/>
  <c r="AR44" i="1"/>
  <c r="AQ44" i="1"/>
  <c r="AS44" i="1" s="1"/>
  <c r="AP44" i="1"/>
  <c r="AR43" i="1"/>
  <c r="AQ43" i="1"/>
  <c r="AS43" i="1" s="1"/>
  <c r="AP43" i="1"/>
  <c r="AR42" i="1"/>
  <c r="AP42" i="1"/>
  <c r="AQ42" i="1" s="1"/>
  <c r="AS42" i="1" s="1"/>
  <c r="AR41" i="1"/>
  <c r="AP41" i="1"/>
  <c r="AQ41" i="1" s="1"/>
  <c r="AS41" i="1" s="1"/>
  <c r="AR40" i="1"/>
  <c r="AQ40" i="1"/>
  <c r="AS40" i="1" s="1"/>
  <c r="AP40" i="1"/>
  <c r="AR39" i="1"/>
  <c r="AQ39" i="1"/>
  <c r="AS39" i="1" s="1"/>
  <c r="AP39" i="1"/>
  <c r="AR38" i="1"/>
  <c r="AQ38" i="1"/>
  <c r="AS38" i="1" s="1"/>
  <c r="AP38" i="1"/>
  <c r="AR37" i="1"/>
  <c r="AP37" i="1"/>
  <c r="AQ37" i="1" s="1"/>
  <c r="AS37" i="1" s="1"/>
  <c r="AR36" i="1"/>
  <c r="AP36" i="1"/>
  <c r="AQ36" i="1" s="1"/>
  <c r="AS36" i="1" s="1"/>
  <c r="AR35" i="1"/>
  <c r="AQ35" i="1"/>
  <c r="AS35" i="1" s="1"/>
  <c r="AP35" i="1"/>
  <c r="AR34" i="1"/>
  <c r="AQ34" i="1"/>
  <c r="AS34" i="1" s="1"/>
  <c r="AP34" i="1"/>
  <c r="AR33" i="1"/>
  <c r="AQ33" i="1"/>
  <c r="AS33" i="1" s="1"/>
  <c r="AP33" i="1"/>
  <c r="AR32" i="1"/>
  <c r="AP32" i="1"/>
  <c r="AQ32" i="1" s="1"/>
  <c r="AS32" i="1" s="1"/>
  <c r="AR31" i="1"/>
  <c r="AP31" i="1"/>
  <c r="AQ31" i="1" s="1"/>
  <c r="AS31" i="1" s="1"/>
  <c r="AR30" i="1"/>
  <c r="AQ30" i="1"/>
  <c r="AS30" i="1" s="1"/>
  <c r="AP30" i="1"/>
  <c r="AR29" i="1"/>
  <c r="AP29" i="1"/>
  <c r="AQ29" i="1" s="1"/>
  <c r="AS29" i="1" s="1"/>
  <c r="AR28" i="1"/>
  <c r="AP28" i="1"/>
  <c r="AQ28" i="1" s="1"/>
  <c r="AS28" i="1" s="1"/>
  <c r="AR27" i="1"/>
  <c r="AP27" i="1"/>
  <c r="AQ27" i="1" s="1"/>
  <c r="AS27" i="1" s="1"/>
  <c r="AR26" i="1"/>
  <c r="AP26" i="1"/>
  <c r="AQ26" i="1" s="1"/>
  <c r="AS26" i="1" s="1"/>
  <c r="AR25" i="1"/>
  <c r="AP25" i="1"/>
  <c r="AQ25" i="1" s="1"/>
  <c r="AS25" i="1" s="1"/>
  <c r="AR24" i="1"/>
  <c r="AP24" i="1"/>
  <c r="AQ24" i="1" s="1"/>
  <c r="AS24" i="1" s="1"/>
  <c r="AR23" i="1"/>
  <c r="AP23" i="1"/>
  <c r="AQ23" i="1" s="1"/>
  <c r="AS23" i="1" s="1"/>
  <c r="AR22" i="1"/>
  <c r="AP22" i="1"/>
  <c r="AQ22" i="1" s="1"/>
  <c r="AS22" i="1" s="1"/>
  <c r="AR21" i="1"/>
  <c r="AP21" i="1"/>
  <c r="AQ21" i="1" s="1"/>
  <c r="AS21" i="1" s="1"/>
  <c r="AR20" i="1"/>
  <c r="AP20" i="1"/>
  <c r="AQ20" i="1" s="1"/>
  <c r="AS20" i="1" s="1"/>
  <c r="AR19" i="1"/>
  <c r="AP19" i="1"/>
  <c r="AQ19" i="1" s="1"/>
  <c r="AS19" i="1" s="1"/>
  <c r="AR18" i="1"/>
  <c r="AP18" i="1"/>
  <c r="AQ18" i="1" s="1"/>
  <c r="AS18" i="1" s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S15" i="1" s="1"/>
  <c r="AR14" i="1"/>
  <c r="AP14" i="1"/>
  <c r="AQ14" i="1" s="1"/>
  <c r="AS14" i="1" s="1"/>
  <c r="AR13" i="1"/>
  <c r="AP13" i="1"/>
  <c r="AQ13" i="1" s="1"/>
  <c r="AS13" i="1" s="1"/>
  <c r="AR12" i="1"/>
  <c r="AP12" i="1"/>
  <c r="AQ12" i="1" s="1"/>
  <c r="AS12" i="1" s="1"/>
  <c r="AR11" i="1"/>
  <c r="AP11" i="1"/>
  <c r="AQ11" i="1" s="1"/>
  <c r="AS11" i="1" s="1"/>
  <c r="AR10" i="1"/>
  <c r="AP10" i="1"/>
  <c r="AQ10" i="1" s="1"/>
  <c r="AS10" i="1" s="1"/>
  <c r="AR9" i="1"/>
  <c r="AP9" i="1"/>
  <c r="AQ9" i="1" s="1"/>
  <c r="AS9" i="1" s="1"/>
  <c r="AR8" i="1"/>
  <c r="AQ8" i="1"/>
  <c r="AS8" i="1" s="1"/>
  <c r="AP8" i="1"/>
  <c r="AR7" i="1"/>
  <c r="AP7" i="1"/>
  <c r="AQ7" i="1" s="1"/>
  <c r="AS7" i="1" s="1"/>
  <c r="AR6" i="1"/>
  <c r="AP6" i="1"/>
  <c r="AQ6" i="1" s="1"/>
  <c r="AS6" i="1" s="1"/>
  <c r="AR5" i="1"/>
  <c r="AP5" i="1"/>
  <c r="AQ5" i="1" s="1"/>
  <c r="AS5" i="1" s="1"/>
  <c r="I2" i="1"/>
  <c r="D2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<sst xmlns="http://schemas.openxmlformats.org/spreadsheetml/2006/main" count="3690" uniqueCount="1514">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</sst>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R1" zoomScale="80" zoomScaleNormal="80" workbookViewId="0">
      <selection activeCell="AK14" sqref="AK14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19.28515625" style="50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12" width="32.42578125" style="50" customWidth="1"/>
    <col min="113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JULIO</v>
      </c>
      <c r="E2" s="76">
        <v>7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30</v>
      </c>
      <c r="L5" s="56">
        <v>29.8</v>
      </c>
      <c r="M5" s="56">
        <v>29.1</v>
      </c>
      <c r="N5" s="56">
        <v>26.5</v>
      </c>
      <c r="O5" s="56">
        <v>28.3</v>
      </c>
      <c r="P5" s="56">
        <v>29.9</v>
      </c>
      <c r="Q5" s="56">
        <v>29.2</v>
      </c>
      <c r="R5" s="56">
        <v>29.4</v>
      </c>
      <c r="S5" s="56">
        <v>29.9</v>
      </c>
      <c r="T5" s="56">
        <v>29.1</v>
      </c>
      <c r="U5" s="56">
        <v>29.8</v>
      </c>
      <c r="V5" s="56">
        <v>28.5</v>
      </c>
      <c r="W5" s="56">
        <v>27.1</v>
      </c>
      <c r="X5" s="56">
        <v>28</v>
      </c>
      <c r="Y5" s="56">
        <v>28.4</v>
      </c>
      <c r="Z5" s="56">
        <v>28.9</v>
      </c>
      <c r="AA5" s="56">
        <v>29.5</v>
      </c>
      <c r="AB5" s="56">
        <v>29.2</v>
      </c>
      <c r="AC5" s="56">
        <v>29.4</v>
      </c>
      <c r="AD5" s="56">
        <v>26.7</v>
      </c>
      <c r="AE5" s="56">
        <v>28.8</v>
      </c>
      <c r="AF5" s="56">
        <v>28.8</v>
      </c>
      <c r="AG5" s="56">
        <v>29.2</v>
      </c>
      <c r="AH5" s="56">
        <v>27.8</v>
      </c>
      <c r="AI5" s="56">
        <v>28.8</v>
      </c>
      <c r="AJ5" s="56"/>
      <c r="AK5" s="56"/>
      <c r="AL5" s="56"/>
      <c r="AM5" s="56"/>
      <c r="AN5" s="56"/>
      <c r="AO5" s="56"/>
      <c r="AP5" s="58">
        <f t="shared" ref="AP5:AP68" si="0">COUNTIF(K5:AO5,"&gt;0")</f>
        <v>25</v>
      </c>
      <c r="AQ5" s="71">
        <f t="shared" ref="AQ5:AQ68" si="1">IF(AP5&gt;14,AVERAGE(K5:AO5),"")</f>
        <v>28.803999999999995</v>
      </c>
      <c r="AR5" s="71">
        <f>IFERROR(VLOOKUP(A5,Climatologia_TMED!A:U,9+$E$2,FALSE),"")</f>
        <v>28.15321488897127</v>
      </c>
      <c r="AS5" s="71">
        <f t="shared" ref="AS5:AS68" si="2">IF(OR(AQ5="",AR5=""),"",IFERROR(AQ5-AR5,""))</f>
        <v>0.65078511102872483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</v>
      </c>
      <c r="L6" s="56">
        <v>29.7</v>
      </c>
      <c r="M6" s="56">
        <v>29.7</v>
      </c>
      <c r="N6" s="56">
        <v>27.8</v>
      </c>
      <c r="O6" s="56">
        <v>27.5</v>
      </c>
      <c r="P6" s="56">
        <v>29</v>
      </c>
      <c r="Q6" s="56">
        <v>29</v>
      </c>
      <c r="R6" s="56">
        <v>29</v>
      </c>
      <c r="S6" s="56">
        <v>29.4</v>
      </c>
      <c r="T6" s="56">
        <v>28.7</v>
      </c>
      <c r="U6" s="56">
        <v>29.1</v>
      </c>
      <c r="V6" s="56">
        <v>29.5</v>
      </c>
      <c r="W6" s="56">
        <v>28.6</v>
      </c>
      <c r="X6" s="56">
        <v>28.4</v>
      </c>
      <c r="Y6" s="56">
        <v>28.7</v>
      </c>
      <c r="Z6" s="56">
        <v>29.5</v>
      </c>
      <c r="AA6" s="56">
        <v>29.3</v>
      </c>
      <c r="AB6" s="56">
        <v>28.9</v>
      </c>
      <c r="AC6" s="56">
        <v>28.3</v>
      </c>
      <c r="AD6" s="56">
        <v>28.2</v>
      </c>
      <c r="AE6" s="56">
        <v>28.7</v>
      </c>
      <c r="AF6" s="56">
        <v>29.3</v>
      </c>
      <c r="AG6" s="56">
        <v>28.8</v>
      </c>
      <c r="AH6" s="56">
        <v>27.5</v>
      </c>
      <c r="AI6" s="56">
        <v>29.2</v>
      </c>
      <c r="AJ6" s="56"/>
      <c r="AK6" s="56"/>
      <c r="AL6" s="56"/>
      <c r="AM6" s="56"/>
      <c r="AN6" s="56"/>
      <c r="AO6" s="56"/>
      <c r="AP6" s="58">
        <f t="shared" si="0"/>
        <v>25</v>
      </c>
      <c r="AQ6" s="71">
        <f t="shared" si="1"/>
        <v>28.831999999999997</v>
      </c>
      <c r="AR6" s="71">
        <f>IFERROR(VLOOKUP(A6,Climatologia_TMED!A:U,9+$E$2,FALSE),"")</f>
        <v>28.39523388894882</v>
      </c>
      <c r="AS6" s="71">
        <f t="shared" si="2"/>
        <v>0.43676611105117757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30.9</v>
      </c>
      <c r="L7" s="56">
        <v>32.4</v>
      </c>
      <c r="M7" s="56">
        <v>30.9</v>
      </c>
      <c r="N7" s="56">
        <v>29.4</v>
      </c>
      <c r="O7" s="56">
        <v>31.5</v>
      </c>
      <c r="P7" s="56">
        <v>31.9</v>
      </c>
      <c r="Q7" s="56">
        <v>34</v>
      </c>
      <c r="R7" s="56">
        <v>34.200000000000003</v>
      </c>
      <c r="S7" s="56">
        <v>30.6</v>
      </c>
      <c r="T7" s="56">
        <v>30.2</v>
      </c>
      <c r="U7" s="56">
        <v>32</v>
      </c>
      <c r="V7" s="56">
        <v>32.5</v>
      </c>
      <c r="W7" s="56">
        <v>31.1</v>
      </c>
      <c r="X7" s="56">
        <v>33</v>
      </c>
      <c r="Y7" s="56">
        <v>33.1</v>
      </c>
      <c r="Z7" s="56">
        <v>33.4</v>
      </c>
      <c r="AA7" s="56">
        <v>33.799999999999997</v>
      </c>
      <c r="AB7" s="56">
        <v>31.9</v>
      </c>
      <c r="AC7" s="56">
        <v>31.6</v>
      </c>
      <c r="AD7" s="56">
        <v>27.1</v>
      </c>
      <c r="AE7" s="56">
        <v>29.1</v>
      </c>
      <c r="AF7" s="56">
        <v>32.1</v>
      </c>
      <c r="AG7" s="56">
        <v>29.6</v>
      </c>
      <c r="AH7" s="56">
        <v>28.8</v>
      </c>
      <c r="AI7" s="56">
        <v>31</v>
      </c>
      <c r="AJ7" s="56"/>
      <c r="AK7" s="56"/>
      <c r="AL7" s="56"/>
      <c r="AM7" s="56"/>
      <c r="AN7" s="56"/>
      <c r="AO7" s="56"/>
      <c r="AP7" s="58">
        <f t="shared" si="0"/>
        <v>25</v>
      </c>
      <c r="AQ7" s="71">
        <f t="shared" si="1"/>
        <v>31.444000000000003</v>
      </c>
      <c r="AR7" s="71">
        <f>IFERROR(VLOOKUP(A7,Climatologia_TMED!A:U,9+$E$2,FALSE),"")</f>
        <v>29.20018049155146</v>
      </c>
      <c r="AS7" s="71">
        <f t="shared" si="2"/>
        <v>2.2438195084485422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29.5</v>
      </c>
      <c r="L8" s="56">
        <v>30.1</v>
      </c>
      <c r="M8" s="56">
        <v>29</v>
      </c>
      <c r="N8" s="56">
        <v>28.6</v>
      </c>
      <c r="O8" s="56">
        <v>29.7</v>
      </c>
      <c r="P8" s="56">
        <v>30.1</v>
      </c>
      <c r="Q8" s="56">
        <v>30.7</v>
      </c>
      <c r="R8" s="56">
        <v>31</v>
      </c>
      <c r="S8" s="56">
        <v>30.3</v>
      </c>
      <c r="T8" s="56">
        <v>30.1</v>
      </c>
      <c r="U8" s="56">
        <v>30.5</v>
      </c>
      <c r="V8" s="56">
        <v>30</v>
      </c>
      <c r="W8" s="56">
        <v>29</v>
      </c>
      <c r="X8" s="56">
        <v>30.2</v>
      </c>
      <c r="Y8" s="56">
        <v>30.7</v>
      </c>
      <c r="Z8" s="56">
        <v>30.4</v>
      </c>
      <c r="AA8" s="56">
        <v>30.6</v>
      </c>
      <c r="AB8" s="56">
        <v>30.9</v>
      </c>
      <c r="AC8" s="56">
        <v>29.5</v>
      </c>
      <c r="AD8" s="56">
        <v>27.2</v>
      </c>
      <c r="AE8" s="56">
        <v>29</v>
      </c>
      <c r="AF8" s="56">
        <v>29.2</v>
      </c>
      <c r="AG8" s="56">
        <v>28.6</v>
      </c>
      <c r="AH8" s="56">
        <v>28.4</v>
      </c>
      <c r="AI8" s="56">
        <v>29.5</v>
      </c>
      <c r="AJ8" s="56"/>
      <c r="AK8" s="56"/>
      <c r="AL8" s="56"/>
      <c r="AM8" s="56"/>
      <c r="AN8" s="56"/>
      <c r="AO8" s="56"/>
      <c r="AP8" s="58">
        <f t="shared" si="0"/>
        <v>25</v>
      </c>
      <c r="AQ8" s="71">
        <f t="shared" si="1"/>
        <v>29.712000000000003</v>
      </c>
      <c r="AR8" s="71">
        <f>IFERROR(VLOOKUP(A8,Climatologia_TMED!A:U,9+$E$2,FALSE),"")</f>
        <v>28.578539316171401</v>
      </c>
      <c r="AS8" s="71">
        <f t="shared" si="2"/>
        <v>1.1334606838286021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29.6</v>
      </c>
      <c r="L9" s="56">
        <v>29.4</v>
      </c>
      <c r="M9" s="56">
        <v>28.7</v>
      </c>
      <c r="N9" s="56">
        <v>28.1</v>
      </c>
      <c r="O9" s="56">
        <v>29.9</v>
      </c>
      <c r="P9" s="56">
        <v>29.4</v>
      </c>
      <c r="Q9" s="56">
        <v>30.5</v>
      </c>
      <c r="R9" s="56">
        <v>30.6</v>
      </c>
      <c r="S9" s="56">
        <v>29.9</v>
      </c>
      <c r="T9" s="56">
        <v>29.1</v>
      </c>
      <c r="U9" s="56">
        <v>29.7</v>
      </c>
      <c r="V9" s="56">
        <v>29.5</v>
      </c>
      <c r="W9" s="56">
        <v>29.1</v>
      </c>
      <c r="X9" s="56">
        <v>30.8</v>
      </c>
      <c r="Y9" s="56">
        <v>30.5</v>
      </c>
      <c r="Z9" s="56">
        <v>30</v>
      </c>
      <c r="AA9" s="56">
        <v>30.1</v>
      </c>
      <c r="AB9" s="56">
        <v>29.8</v>
      </c>
      <c r="AC9" s="56">
        <v>29.3</v>
      </c>
      <c r="AD9" s="56">
        <v>25.4</v>
      </c>
      <c r="AE9" s="56">
        <v>29.1</v>
      </c>
      <c r="AF9" s="56">
        <v>29.1</v>
      </c>
      <c r="AG9" s="56">
        <v>29.1</v>
      </c>
      <c r="AH9" s="56">
        <v>28.7</v>
      </c>
      <c r="AI9" s="56">
        <v>29.2</v>
      </c>
      <c r="AJ9" s="56"/>
      <c r="AK9" s="56"/>
      <c r="AL9" s="56"/>
      <c r="AM9" s="56"/>
      <c r="AN9" s="56"/>
      <c r="AO9" s="56"/>
      <c r="AP9" s="58">
        <f t="shared" si="0"/>
        <v>25</v>
      </c>
      <c r="AQ9" s="71">
        <f t="shared" si="1"/>
        <v>29.384000000000004</v>
      </c>
      <c r="AR9" s="71">
        <f>IFERROR(VLOOKUP(A9,Climatologia_TMED!A:U,9+$E$2,FALSE),"")</f>
        <v>29.78746898263023</v>
      </c>
      <c r="AS9" s="71">
        <f t="shared" si="2"/>
        <v>-0.40346898263022624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31.2</v>
      </c>
      <c r="L10" s="56">
        <v>31</v>
      </c>
      <c r="M10" s="56">
        <v>30.7</v>
      </c>
      <c r="N10" s="56">
        <v>31</v>
      </c>
      <c r="O10" s="56">
        <v>32.1</v>
      </c>
      <c r="P10" s="56">
        <v>31.6</v>
      </c>
      <c r="Q10" s="56">
        <v>33.1</v>
      </c>
      <c r="R10" s="56">
        <v>33.200000000000003</v>
      </c>
      <c r="S10" s="56">
        <v>32.1</v>
      </c>
      <c r="T10" s="56">
        <v>31.1</v>
      </c>
      <c r="U10" s="56">
        <v>30.7</v>
      </c>
      <c r="V10" s="56">
        <v>32.5</v>
      </c>
      <c r="W10" s="56">
        <v>31.1</v>
      </c>
      <c r="X10" s="56">
        <v>32.5</v>
      </c>
      <c r="Y10" s="56">
        <v>33</v>
      </c>
      <c r="Z10" s="56">
        <v>32.200000000000003</v>
      </c>
      <c r="AA10" s="56">
        <v>32.9</v>
      </c>
      <c r="AB10" s="56">
        <v>31.8</v>
      </c>
      <c r="AC10" s="56">
        <v>30.6</v>
      </c>
      <c r="AD10" s="56">
        <v>32</v>
      </c>
      <c r="AE10" s="56">
        <v>32.5</v>
      </c>
      <c r="AF10" s="56">
        <v>30</v>
      </c>
      <c r="AG10" s="56">
        <v>31</v>
      </c>
      <c r="AH10" s="56">
        <v>31.7</v>
      </c>
      <c r="AI10" s="56">
        <v>30.5</v>
      </c>
      <c r="AJ10" s="56"/>
      <c r="AK10" s="56"/>
      <c r="AL10" s="56"/>
      <c r="AM10" s="56"/>
      <c r="AN10" s="56"/>
      <c r="AO10" s="56"/>
      <c r="AP10" s="58">
        <f t="shared" si="0"/>
        <v>25</v>
      </c>
      <c r="AQ10" s="71">
        <f t="shared" si="1"/>
        <v>31.684000000000001</v>
      </c>
      <c r="AR10" s="71">
        <f>IFERROR(VLOOKUP(A10,Climatologia_TMED!A:U,9+$E$2,FALSE),"")</f>
        <v>30.079422034405059</v>
      </c>
      <c r="AS10" s="71">
        <f t="shared" si="2"/>
        <v>1.6045779655949417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34</v>
      </c>
      <c r="L11" s="56">
        <v>32.9</v>
      </c>
      <c r="M11" s="56">
        <v>31.1</v>
      </c>
      <c r="N11" s="56">
        <v>31.3</v>
      </c>
      <c r="O11" s="56">
        <v>33.5</v>
      </c>
      <c r="P11" s="56">
        <v>33.1</v>
      </c>
      <c r="Q11" s="56">
        <v>34.6</v>
      </c>
      <c r="R11" s="56">
        <v>33.9</v>
      </c>
      <c r="S11" s="56">
        <v>32.9</v>
      </c>
      <c r="T11" s="56">
        <v>33.1</v>
      </c>
      <c r="U11" s="56">
        <v>33.5</v>
      </c>
      <c r="V11" s="56">
        <v>31.2</v>
      </c>
      <c r="W11" s="56">
        <v>32.200000000000003</v>
      </c>
      <c r="X11" s="56">
        <v>34.1</v>
      </c>
      <c r="Y11" s="56">
        <v>34.4</v>
      </c>
      <c r="Z11" s="56">
        <v>33.799999999999997</v>
      </c>
      <c r="AA11" s="56">
        <v>34.1</v>
      </c>
      <c r="AB11" s="56">
        <v>32.799999999999997</v>
      </c>
      <c r="AC11" s="56">
        <v>32.5</v>
      </c>
      <c r="AD11" s="56">
        <v>29.2</v>
      </c>
      <c r="AE11" s="56">
        <v>31.5</v>
      </c>
      <c r="AF11" s="56">
        <v>31.7</v>
      </c>
      <c r="AG11" s="56">
        <v>30</v>
      </c>
      <c r="AH11" s="56">
        <v>31.7</v>
      </c>
      <c r="AI11" s="56">
        <v>33.200000000000003</v>
      </c>
      <c r="AJ11" s="56"/>
      <c r="AK11" s="56"/>
      <c r="AL11" s="56"/>
      <c r="AM11" s="56"/>
      <c r="AN11" s="56"/>
      <c r="AO11" s="56"/>
      <c r="AP11" s="58">
        <f t="shared" si="0"/>
        <v>25</v>
      </c>
      <c r="AQ11" s="71">
        <f t="shared" si="1"/>
        <v>32.652000000000001</v>
      </c>
      <c r="AR11" s="71">
        <f>IFERROR(VLOOKUP(A11,Climatologia_TMED!A:U,9+$E$2,FALSE),"")</f>
        <v>30.003914077227851</v>
      </c>
      <c r="AS11" s="71">
        <f t="shared" si="2"/>
        <v>2.6480859227721503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30.7</v>
      </c>
      <c r="L12" s="56">
        <v>28.7</v>
      </c>
      <c r="M12" s="56">
        <v>30.7</v>
      </c>
      <c r="N12" s="56">
        <v>28.3</v>
      </c>
      <c r="O12" s="56">
        <v>31.3</v>
      </c>
      <c r="P12" s="56">
        <v>31</v>
      </c>
      <c r="Q12" s="56">
        <v>31.5</v>
      </c>
      <c r="R12" s="56">
        <v>31.7</v>
      </c>
      <c r="S12" s="56">
        <v>27.2</v>
      </c>
      <c r="T12" s="56">
        <v>30.9</v>
      </c>
      <c r="U12" s="56">
        <v>30.7</v>
      </c>
      <c r="V12" s="56">
        <v>29.8</v>
      </c>
      <c r="W12" s="56">
        <v>29</v>
      </c>
      <c r="X12" s="56">
        <v>31.8</v>
      </c>
      <c r="Y12" s="56">
        <v>31.5</v>
      </c>
      <c r="Z12" s="56">
        <v>32</v>
      </c>
      <c r="AA12" s="56">
        <v>31.8</v>
      </c>
      <c r="AB12" s="56">
        <v>31.5</v>
      </c>
      <c r="AC12" s="56">
        <v>28.5</v>
      </c>
      <c r="AD12" s="56">
        <v>27.9</v>
      </c>
      <c r="AE12" s="56">
        <v>30</v>
      </c>
      <c r="AF12" s="56">
        <v>30.5</v>
      </c>
      <c r="AG12" s="56">
        <v>25.8</v>
      </c>
      <c r="AH12" s="56">
        <v>29.2</v>
      </c>
      <c r="AI12" s="56">
        <v>30.9</v>
      </c>
      <c r="AJ12" s="56"/>
      <c r="AK12" s="56"/>
      <c r="AL12" s="56"/>
      <c r="AM12" s="56"/>
      <c r="AN12" s="56"/>
      <c r="AO12" s="56"/>
      <c r="AP12" s="58">
        <f t="shared" si="0"/>
        <v>25</v>
      </c>
      <c r="AQ12" s="71">
        <f t="shared" si="1"/>
        <v>30.115999999999996</v>
      </c>
      <c r="AR12" s="71">
        <f>IFERROR(VLOOKUP(A12,Climatologia_TMED!A:U,9+$E$2,FALSE),"")</f>
        <v>28.26566638931558</v>
      </c>
      <c r="AS12" s="71">
        <f t="shared" si="2"/>
        <v>1.8503336106844159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30.7</v>
      </c>
      <c r="L13" s="56">
        <v>28.7</v>
      </c>
      <c r="M13" s="56">
        <v>29.6</v>
      </c>
      <c r="N13" s="56">
        <v>27.6</v>
      </c>
      <c r="O13" s="56">
        <v>30.8</v>
      </c>
      <c r="P13" s="56">
        <v>31.4</v>
      </c>
      <c r="Q13" s="56">
        <v>32.4</v>
      </c>
      <c r="R13" s="56">
        <v>32.4</v>
      </c>
      <c r="S13" s="56">
        <v>26.4</v>
      </c>
      <c r="T13" s="56">
        <v>29.7</v>
      </c>
      <c r="U13" s="56">
        <v>30.3</v>
      </c>
      <c r="V13" s="56">
        <v>27.9</v>
      </c>
      <c r="W13" s="56">
        <v>29.8</v>
      </c>
      <c r="X13" s="56">
        <v>31.3</v>
      </c>
      <c r="Y13" s="56">
        <v>31.7</v>
      </c>
      <c r="Z13" s="56">
        <v>32.9</v>
      </c>
      <c r="AA13" s="56">
        <v>33.700000000000003</v>
      </c>
      <c r="AB13" s="56">
        <v>30.8</v>
      </c>
      <c r="AC13" s="56">
        <v>28.6</v>
      </c>
      <c r="AD13" s="56">
        <v>27.8</v>
      </c>
      <c r="AE13" s="56">
        <v>27.6</v>
      </c>
      <c r="AF13" s="56">
        <v>29.9</v>
      </c>
      <c r="AG13" s="56">
        <v>26.9</v>
      </c>
      <c r="AH13" s="56">
        <v>29.6</v>
      </c>
      <c r="AI13" s="56">
        <v>30.3</v>
      </c>
      <c r="AJ13" s="56"/>
      <c r="AK13" s="56"/>
      <c r="AL13" s="56"/>
      <c r="AM13" s="56"/>
      <c r="AN13" s="56"/>
      <c r="AO13" s="56"/>
      <c r="AP13" s="58">
        <f t="shared" si="0"/>
        <v>25</v>
      </c>
      <c r="AQ13" s="71">
        <f t="shared" si="1"/>
        <v>29.951999999999995</v>
      </c>
      <c r="AR13" s="71">
        <f>IFERROR(VLOOKUP(A13,Climatologia_TMED!A:U,9+$E$2,FALSE),"")</f>
        <v>28.329394697812361</v>
      </c>
      <c r="AS13" s="71">
        <f t="shared" si="2"/>
        <v>1.6226053021876332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24.9</v>
      </c>
      <c r="L14" s="56">
        <v>22.7</v>
      </c>
      <c r="M14" s="56">
        <v>23</v>
      </c>
      <c r="N14" s="56">
        <v>22.6</v>
      </c>
      <c r="O14" s="56">
        <v>24.2</v>
      </c>
      <c r="P14" s="56">
        <v>24.6</v>
      </c>
      <c r="Q14" s="56">
        <v>25.9</v>
      </c>
      <c r="R14" s="56">
        <v>25.2</v>
      </c>
      <c r="S14" s="56">
        <v>21.4</v>
      </c>
      <c r="T14" s="56">
        <v>23.2</v>
      </c>
      <c r="U14" s="56">
        <v>23.7</v>
      </c>
      <c r="V14" s="56">
        <v>22.5</v>
      </c>
      <c r="W14" s="56">
        <v>23.6</v>
      </c>
      <c r="X14" s="56">
        <v>23.2</v>
      </c>
      <c r="Y14" s="56">
        <v>25.4</v>
      </c>
      <c r="Z14" s="56">
        <v>26.2</v>
      </c>
      <c r="AA14" s="56">
        <v>25.3</v>
      </c>
      <c r="AB14" s="56">
        <v>23.5</v>
      </c>
      <c r="AC14" s="56">
        <v>22.9</v>
      </c>
      <c r="AD14" s="56">
        <v>21.9</v>
      </c>
      <c r="AE14" s="56">
        <v>22</v>
      </c>
      <c r="AF14" s="56">
        <v>24.7</v>
      </c>
      <c r="AG14" s="56">
        <v>21.9</v>
      </c>
      <c r="AH14" s="56">
        <v>22.4</v>
      </c>
      <c r="AI14" s="56">
        <v>23.1</v>
      </c>
      <c r="AJ14" s="56"/>
      <c r="AK14" s="56"/>
      <c r="AL14" s="56"/>
      <c r="AM14" s="56"/>
      <c r="AN14" s="56"/>
      <c r="AO14" s="56"/>
      <c r="AP14" s="58">
        <f t="shared" si="0"/>
        <v>25</v>
      </c>
      <c r="AQ14" s="71">
        <f t="shared" si="1"/>
        <v>23.599999999999994</v>
      </c>
      <c r="AR14" s="71">
        <f>IFERROR(VLOOKUP(A14,Climatologia_TMED!A:U,9+$E$2,FALSE),"")</f>
        <v>21.72154002389485</v>
      </c>
      <c r="AS14" s="71">
        <f t="shared" si="2"/>
        <v>1.8784599761051446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25.2</v>
      </c>
      <c r="L15" s="56">
        <v>26.6</v>
      </c>
      <c r="M15" s="56">
        <v>27.3</v>
      </c>
      <c r="N15" s="56">
        <v>28.5</v>
      </c>
      <c r="O15" s="56">
        <v>30.7</v>
      </c>
      <c r="P15" s="56">
        <v>31</v>
      </c>
      <c r="Q15" s="56">
        <v>30.2</v>
      </c>
      <c r="R15" s="56">
        <v>32.4</v>
      </c>
      <c r="S15" s="56">
        <v>27.3</v>
      </c>
      <c r="T15" s="56">
        <v>30.5</v>
      </c>
      <c r="U15" s="56">
        <v>29</v>
      </c>
      <c r="V15" s="56">
        <v>27.8</v>
      </c>
      <c r="W15" s="56">
        <v>29.7</v>
      </c>
      <c r="X15" s="56">
        <v>29.4</v>
      </c>
      <c r="Y15" s="56">
        <v>31.2</v>
      </c>
      <c r="Z15" s="56">
        <v>30.1</v>
      </c>
      <c r="AA15" s="56">
        <v>31</v>
      </c>
      <c r="AB15" s="56">
        <v>28</v>
      </c>
      <c r="AC15" s="56">
        <v>28.5</v>
      </c>
      <c r="AD15" s="56">
        <v>26.2</v>
      </c>
      <c r="AE15" s="56">
        <v>29.1</v>
      </c>
      <c r="AF15" s="56">
        <v>31.3</v>
      </c>
      <c r="AG15" s="56">
        <v>28.1</v>
      </c>
      <c r="AH15" s="56">
        <v>31</v>
      </c>
      <c r="AI15" s="56">
        <v>28.9</v>
      </c>
      <c r="AJ15" s="56"/>
      <c r="AK15" s="56"/>
      <c r="AL15" s="56"/>
      <c r="AM15" s="56"/>
      <c r="AN15" s="56"/>
      <c r="AO15" s="56"/>
      <c r="AP15" s="58">
        <f t="shared" si="0"/>
        <v>25</v>
      </c>
      <c r="AQ15" s="71">
        <f t="shared" si="1"/>
        <v>29.16</v>
      </c>
      <c r="AR15" s="71">
        <f>IFERROR(VLOOKUP(A15,Climatologia_TMED!A:U,9+$E$2,FALSE),"")</f>
        <v>28.235505376344079</v>
      </c>
      <c r="AS15" s="71">
        <f t="shared" si="2"/>
        <v>0.92449462365592083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28.1</v>
      </c>
      <c r="L16" s="56">
        <v>28.6</v>
      </c>
      <c r="M16" s="56">
        <v>28.1</v>
      </c>
      <c r="N16" s="56">
        <v>27.2</v>
      </c>
      <c r="O16" s="56">
        <v>29.7</v>
      </c>
      <c r="P16" s="56">
        <v>27.5</v>
      </c>
      <c r="Q16" s="56">
        <v>30.1</v>
      </c>
      <c r="R16" s="56">
        <v>30.1</v>
      </c>
      <c r="S16" s="56">
        <v>25.3</v>
      </c>
      <c r="T16" s="56">
        <v>28.9</v>
      </c>
      <c r="U16" s="56">
        <v>27.5</v>
      </c>
      <c r="V16" s="56">
        <v>27</v>
      </c>
      <c r="W16" s="56">
        <v>28.7</v>
      </c>
      <c r="X16" s="56">
        <v>30</v>
      </c>
      <c r="Y16" s="56">
        <v>30.5</v>
      </c>
      <c r="Z16" s="56">
        <v>30.4</v>
      </c>
      <c r="AA16" s="56">
        <v>30.1</v>
      </c>
      <c r="AB16" s="56">
        <v>27.8</v>
      </c>
      <c r="AC16" s="56">
        <v>26.9</v>
      </c>
      <c r="AD16" s="56">
        <v>27.5</v>
      </c>
      <c r="AE16" s="56">
        <v>28.4</v>
      </c>
      <c r="AF16" s="56">
        <v>29</v>
      </c>
      <c r="AG16" s="56">
        <v>24.6</v>
      </c>
      <c r="AH16" s="56">
        <v>28.1</v>
      </c>
      <c r="AI16" s="56">
        <v>29.6</v>
      </c>
      <c r="AJ16" s="56"/>
      <c r="AK16" s="56"/>
      <c r="AL16" s="56"/>
      <c r="AM16" s="56"/>
      <c r="AN16" s="56"/>
      <c r="AO16" s="56"/>
      <c r="AP16" s="58">
        <f t="shared" si="0"/>
        <v>25</v>
      </c>
      <c r="AQ16" s="71">
        <f t="shared" si="1"/>
        <v>28.388000000000002</v>
      </c>
      <c r="AR16" s="71">
        <f>IFERROR(VLOOKUP(A16,Climatologia_TMED!A:U,9+$E$2,FALSE),"")</f>
        <v>27.637652848402979</v>
      </c>
      <c r="AS16" s="71">
        <f t="shared" si="2"/>
        <v>0.75034715159702259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25.7</v>
      </c>
      <c r="L17" s="56">
        <v>25.3</v>
      </c>
      <c r="M17" s="56">
        <v>25.5</v>
      </c>
      <c r="N17" s="56">
        <v>23.7</v>
      </c>
      <c r="O17" s="56">
        <v>25</v>
      </c>
      <c r="P17" s="56">
        <v>17.5</v>
      </c>
      <c r="Q17" s="56">
        <v>27.5</v>
      </c>
      <c r="R17" s="56">
        <v>27.4</v>
      </c>
      <c r="S17" s="56">
        <v>23.8</v>
      </c>
      <c r="T17" s="56">
        <v>25.8</v>
      </c>
      <c r="U17" s="56">
        <v>25.4</v>
      </c>
      <c r="V17" s="56">
        <v>22.6</v>
      </c>
      <c r="W17" s="56">
        <v>25.3</v>
      </c>
      <c r="X17" s="56">
        <v>25.6</v>
      </c>
      <c r="Y17" s="56">
        <v>25.2</v>
      </c>
      <c r="Z17" s="56">
        <v>26.3</v>
      </c>
      <c r="AA17" s="56">
        <v>25.8</v>
      </c>
      <c r="AB17" s="56">
        <v>26.8</v>
      </c>
      <c r="AC17" s="56">
        <v>24.4</v>
      </c>
      <c r="AD17" s="56">
        <v>22.7</v>
      </c>
      <c r="AE17" s="56">
        <v>25.1</v>
      </c>
      <c r="AF17" s="56">
        <v>23.6</v>
      </c>
      <c r="AG17" s="56">
        <v>21.4</v>
      </c>
      <c r="AH17" s="56">
        <v>24.8</v>
      </c>
      <c r="AI17" s="56">
        <v>25.1</v>
      </c>
      <c r="AJ17" s="56"/>
      <c r="AK17" s="56"/>
      <c r="AL17" s="56"/>
      <c r="AM17" s="56"/>
      <c r="AN17" s="56"/>
      <c r="AO17" s="56"/>
      <c r="AP17" s="58">
        <f t="shared" si="0"/>
        <v>25</v>
      </c>
      <c r="AQ17" s="71">
        <f t="shared" si="1"/>
        <v>24.692000000000004</v>
      </c>
      <c r="AR17" s="71">
        <f>IFERROR(VLOOKUP(A17,Climatologia_TMED!A:U,9+$E$2,FALSE),"")</f>
        <v>23.983623669156199</v>
      </c>
      <c r="AS17" s="71">
        <f t="shared" si="2"/>
        <v>0.70837633084380514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19.5</v>
      </c>
      <c r="L18" s="56">
        <v>17.7</v>
      </c>
      <c r="M18" s="56">
        <v>19</v>
      </c>
      <c r="N18" s="56">
        <v>18.100000000000001</v>
      </c>
      <c r="O18" s="56">
        <v>19.2</v>
      </c>
      <c r="P18" s="56">
        <v>19.5</v>
      </c>
      <c r="Q18" s="56">
        <v>19.899999999999999</v>
      </c>
      <c r="R18" s="56">
        <v>20.3</v>
      </c>
      <c r="S18" s="56">
        <v>18.600000000000001</v>
      </c>
      <c r="T18" s="56">
        <v>18.5</v>
      </c>
      <c r="U18" s="56">
        <v>18.7</v>
      </c>
      <c r="V18" s="56">
        <v>18.2</v>
      </c>
      <c r="W18" s="56">
        <v>18.3</v>
      </c>
      <c r="X18" s="56">
        <v>18.600000000000001</v>
      </c>
      <c r="Y18" s="56">
        <v>18.2</v>
      </c>
      <c r="Z18" s="56">
        <v>19.100000000000001</v>
      </c>
      <c r="AA18" s="56">
        <v>18.5</v>
      </c>
      <c r="AB18" s="56">
        <v>18.899999999999999</v>
      </c>
      <c r="AC18" s="56">
        <v>19.399999999999999</v>
      </c>
      <c r="AD18" s="56">
        <v>16.2</v>
      </c>
      <c r="AE18" s="56">
        <v>19.600000000000001</v>
      </c>
      <c r="AF18" s="56">
        <v>18.600000000000001</v>
      </c>
      <c r="AG18" s="56">
        <v>18.600000000000001</v>
      </c>
      <c r="AH18" s="56">
        <v>19.100000000000001</v>
      </c>
      <c r="AI18" s="56">
        <v>18.899999999999999</v>
      </c>
      <c r="AJ18" s="56"/>
      <c r="AK18" s="56"/>
      <c r="AL18" s="56"/>
      <c r="AM18" s="56"/>
      <c r="AN18" s="56"/>
      <c r="AO18" s="56"/>
      <c r="AP18" s="58">
        <f t="shared" si="0"/>
        <v>25</v>
      </c>
      <c r="AQ18" s="71">
        <f t="shared" si="1"/>
        <v>18.768000000000001</v>
      </c>
      <c r="AR18" s="71">
        <f>IFERROR(VLOOKUP(A18,Climatologia_TMED!A:U,9+$E$2,FALSE),"")</f>
        <v>17.418351254480282</v>
      </c>
      <c r="AS18" s="71">
        <f t="shared" si="2"/>
        <v>1.349648745519719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24.2</v>
      </c>
      <c r="L19" s="56">
        <v>25.4</v>
      </c>
      <c r="M19" s="56">
        <v>23.2</v>
      </c>
      <c r="N19" s="56">
        <v>22.9</v>
      </c>
      <c r="O19" s="56">
        <v>25.3</v>
      </c>
      <c r="P19" s="56">
        <v>25.5</v>
      </c>
      <c r="Q19" s="56">
        <v>25.9</v>
      </c>
      <c r="R19" s="56">
        <v>24.4</v>
      </c>
      <c r="S19" s="56">
        <v>23.9</v>
      </c>
      <c r="T19" s="56">
        <v>25.2</v>
      </c>
      <c r="U19" s="56">
        <v>24.2</v>
      </c>
      <c r="V19" s="56">
        <v>21.8</v>
      </c>
      <c r="W19" s="56">
        <v>24.7</v>
      </c>
      <c r="X19" s="56">
        <v>26.2</v>
      </c>
      <c r="Y19" s="56">
        <v>26.4</v>
      </c>
      <c r="Z19" s="56">
        <v>26</v>
      </c>
      <c r="AA19" s="56">
        <v>25.7</v>
      </c>
      <c r="AB19" s="56">
        <v>24.2</v>
      </c>
      <c r="AC19" s="56">
        <v>21.6</v>
      </c>
      <c r="AD19" s="56">
        <v>22.4</v>
      </c>
      <c r="AE19" s="56">
        <v>24.4</v>
      </c>
      <c r="AF19" s="56">
        <v>25.2</v>
      </c>
      <c r="AG19" s="56">
        <v>21.9</v>
      </c>
      <c r="AH19" s="56">
        <v>23</v>
      </c>
      <c r="AI19" s="56">
        <v>23.3</v>
      </c>
      <c r="AJ19" s="56"/>
      <c r="AK19" s="56"/>
      <c r="AL19" s="56"/>
      <c r="AM19" s="56"/>
      <c r="AN19" s="56"/>
      <c r="AO19" s="56"/>
      <c r="AP19" s="58">
        <f t="shared" si="0"/>
        <v>25</v>
      </c>
      <c r="AQ19" s="71">
        <f t="shared" si="1"/>
        <v>24.276</v>
      </c>
      <c r="AR19" s="71">
        <f>IFERROR(VLOOKUP(A19,Climatologia_TMED!A:U,9+$E$2,FALSE),"")</f>
        <v>22.133534946236551</v>
      </c>
      <c r="AS19" s="71">
        <f t="shared" si="2"/>
        <v>2.1424650537634484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24.1</v>
      </c>
      <c r="L20" s="56">
        <v>25.3</v>
      </c>
      <c r="M20" s="56">
        <v>23.9</v>
      </c>
      <c r="N20" s="56">
        <v>24.2</v>
      </c>
      <c r="O20" s="56">
        <v>25.1</v>
      </c>
      <c r="P20" s="56">
        <v>25.3</v>
      </c>
      <c r="Q20" s="56">
        <v>26.2</v>
      </c>
      <c r="R20" s="56">
        <v>24.7</v>
      </c>
      <c r="S20" s="56">
        <v>24.8</v>
      </c>
      <c r="T20" s="56">
        <v>26.3</v>
      </c>
      <c r="U20" s="56">
        <v>23.6</v>
      </c>
      <c r="V20" s="56">
        <v>23.2</v>
      </c>
      <c r="W20" s="56">
        <v>26.1</v>
      </c>
      <c r="X20" s="56">
        <v>24.4</v>
      </c>
      <c r="Y20" s="56">
        <v>26</v>
      </c>
      <c r="Z20" s="56">
        <v>25.2</v>
      </c>
      <c r="AA20" s="56">
        <v>23.7</v>
      </c>
      <c r="AB20" s="56">
        <v>22.8</v>
      </c>
      <c r="AC20" s="56">
        <v>21.5</v>
      </c>
      <c r="AD20" s="56">
        <v>22.5</v>
      </c>
      <c r="AE20" s="56">
        <v>23.6</v>
      </c>
      <c r="AF20" s="56">
        <v>22.4</v>
      </c>
      <c r="AG20" s="56">
        <v>23.4</v>
      </c>
      <c r="AH20" s="56">
        <v>25.4</v>
      </c>
      <c r="AI20" s="56">
        <v>23.4</v>
      </c>
      <c r="AJ20" s="56"/>
      <c r="AK20" s="56"/>
      <c r="AL20" s="56"/>
      <c r="AM20" s="56"/>
      <c r="AN20" s="56"/>
      <c r="AO20" s="56"/>
      <c r="AP20" s="58">
        <f t="shared" si="0"/>
        <v>25</v>
      </c>
      <c r="AQ20" s="71">
        <f t="shared" si="1"/>
        <v>24.283999999999995</v>
      </c>
      <c r="AR20" s="71">
        <f>IFERROR(VLOOKUP(A20,Climatologia_TMED!A:U,9+$E$2,FALSE),"")</f>
        <v>22.60766542597187</v>
      </c>
      <c r="AS20" s="71">
        <f t="shared" si="2"/>
        <v>1.6763345740281252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27.5</v>
      </c>
      <c r="L21" s="56">
        <v>26.9</v>
      </c>
      <c r="M21" s="56">
        <v>25.3</v>
      </c>
      <c r="N21" s="56">
        <v>25.8</v>
      </c>
      <c r="O21" s="56">
        <v>27.2</v>
      </c>
      <c r="P21" s="56">
        <v>28.6</v>
      </c>
      <c r="Q21" s="56">
        <v>28.2</v>
      </c>
      <c r="R21" s="56">
        <v>28</v>
      </c>
      <c r="S21" s="56">
        <v>26.6</v>
      </c>
      <c r="T21" s="56">
        <v>26</v>
      </c>
      <c r="U21" s="56">
        <v>27.3</v>
      </c>
      <c r="V21" s="56">
        <v>24.5</v>
      </c>
      <c r="W21" s="56">
        <v>27.5</v>
      </c>
      <c r="X21" s="56">
        <v>28.1</v>
      </c>
      <c r="Y21" s="56">
        <v>29.4</v>
      </c>
      <c r="Z21" s="56">
        <v>27.8</v>
      </c>
      <c r="AA21" s="56">
        <v>28.8</v>
      </c>
      <c r="AB21" s="56">
        <v>26</v>
      </c>
      <c r="AC21" s="56">
        <v>26.9</v>
      </c>
      <c r="AD21" s="56">
        <v>26.5</v>
      </c>
      <c r="AE21" s="56">
        <v>26.6</v>
      </c>
      <c r="AF21" s="56">
        <v>28.5</v>
      </c>
      <c r="AG21" s="56">
        <v>26.3</v>
      </c>
      <c r="AH21" s="56">
        <v>27.1</v>
      </c>
      <c r="AI21" s="56">
        <v>26.8</v>
      </c>
      <c r="AJ21" s="56"/>
      <c r="AK21" s="56"/>
      <c r="AL21" s="56"/>
      <c r="AM21" s="56"/>
      <c r="AN21" s="56"/>
      <c r="AO21" s="56"/>
      <c r="AP21" s="58">
        <f t="shared" si="0"/>
        <v>25</v>
      </c>
      <c r="AQ21" s="71">
        <f t="shared" si="1"/>
        <v>27.127999999999997</v>
      </c>
      <c r="AR21" s="71">
        <f>IFERROR(VLOOKUP(A21,Climatologia_TMED!A:U,9+$E$2,FALSE),"")</f>
        <v>24.690081891757131</v>
      </c>
      <c r="AS21" s="71">
        <f t="shared" si="2"/>
        <v>2.4379181082428651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16.600000000000001</v>
      </c>
      <c r="L22" s="56">
        <v>14.3</v>
      </c>
      <c r="M22" s="56">
        <v>15.7</v>
      </c>
      <c r="N22" s="56">
        <v>14.6</v>
      </c>
      <c r="O22" s="56">
        <v>15.7</v>
      </c>
      <c r="P22" s="56">
        <v>17.100000000000001</v>
      </c>
      <c r="Q22" s="56">
        <v>16.3</v>
      </c>
      <c r="R22" s="56">
        <v>16.8</v>
      </c>
      <c r="S22" s="56">
        <v>15.7</v>
      </c>
      <c r="T22" s="56">
        <v>15.8</v>
      </c>
      <c r="U22" s="56">
        <v>14.5</v>
      </c>
      <c r="V22" s="56">
        <v>15</v>
      </c>
      <c r="W22" s="56">
        <v>14.9</v>
      </c>
      <c r="X22" s="56">
        <v>11.7</v>
      </c>
      <c r="Y22" s="56">
        <v>16</v>
      </c>
      <c r="Z22" s="56">
        <v>17</v>
      </c>
      <c r="AA22" s="56">
        <v>17.2</v>
      </c>
      <c r="AB22" s="56">
        <v>15.2</v>
      </c>
      <c r="AC22" s="56">
        <v>15</v>
      </c>
      <c r="AD22" s="56">
        <v>14.5</v>
      </c>
      <c r="AE22" s="56">
        <v>15.4</v>
      </c>
      <c r="AF22" s="56">
        <v>16.600000000000001</v>
      </c>
      <c r="AG22" s="56">
        <v>14.9</v>
      </c>
      <c r="AH22" s="56">
        <v>16.100000000000001</v>
      </c>
      <c r="AI22" s="56">
        <v>14.6</v>
      </c>
      <c r="AJ22" s="56"/>
      <c r="AK22" s="56"/>
      <c r="AL22" s="56"/>
      <c r="AM22" s="56"/>
      <c r="AN22" s="56"/>
      <c r="AO22" s="56"/>
      <c r="AP22" s="58">
        <f t="shared" si="0"/>
        <v>25</v>
      </c>
      <c r="AQ22" s="71">
        <f t="shared" si="1"/>
        <v>15.488</v>
      </c>
      <c r="AR22" s="71">
        <f>IFERROR(VLOOKUP(A22,Climatologia_TMED!A:U,9+$E$2,FALSE),"")</f>
        <v>13.7803329197684</v>
      </c>
      <c r="AS22" s="71">
        <f t="shared" si="2"/>
        <v>1.7076670802315999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25.7</v>
      </c>
      <c r="L23" s="56">
        <v>26.7</v>
      </c>
      <c r="M23" s="56">
        <v>25.1</v>
      </c>
      <c r="N23" s="56">
        <v>26.2</v>
      </c>
      <c r="O23" s="56">
        <v>26.3</v>
      </c>
      <c r="P23" s="56">
        <v>26.7</v>
      </c>
      <c r="Q23" s="56">
        <v>27.5</v>
      </c>
      <c r="R23" s="56">
        <v>26.4</v>
      </c>
      <c r="S23" s="56">
        <v>25.7</v>
      </c>
      <c r="T23" s="56">
        <v>26.5</v>
      </c>
      <c r="U23" s="56">
        <v>25.9</v>
      </c>
      <c r="V23" s="56">
        <v>25</v>
      </c>
      <c r="W23" s="56">
        <v>27.1</v>
      </c>
      <c r="X23" s="56">
        <v>26.2</v>
      </c>
      <c r="Y23" s="56">
        <v>27.5</v>
      </c>
      <c r="Z23" s="56">
        <v>26.7</v>
      </c>
      <c r="AA23" s="56">
        <v>26.4</v>
      </c>
      <c r="AB23" s="56">
        <v>26</v>
      </c>
      <c r="AC23" s="56">
        <v>24.2</v>
      </c>
      <c r="AD23" s="56">
        <v>25.6</v>
      </c>
      <c r="AE23" s="56">
        <v>26.3</v>
      </c>
      <c r="AF23" s="56">
        <v>26.5</v>
      </c>
      <c r="AG23" s="56">
        <v>25.1</v>
      </c>
      <c r="AH23" s="56">
        <v>26.1</v>
      </c>
      <c r="AI23" s="56">
        <v>25.5</v>
      </c>
      <c r="AJ23" s="56"/>
      <c r="AK23" s="56"/>
      <c r="AL23" s="56"/>
      <c r="AM23" s="56"/>
      <c r="AN23" s="56"/>
      <c r="AO23" s="56"/>
      <c r="AP23" s="58">
        <f t="shared" si="0"/>
        <v>25</v>
      </c>
      <c r="AQ23" s="71">
        <f t="shared" si="1"/>
        <v>26.115999999999996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</v>
      </c>
      <c r="L24" s="56">
        <v>27.9</v>
      </c>
      <c r="M24" s="56">
        <v>27.7</v>
      </c>
      <c r="N24" s="56">
        <v>28.1</v>
      </c>
      <c r="O24" s="56">
        <v>28.9</v>
      </c>
      <c r="P24" s="56">
        <v>31.4</v>
      </c>
      <c r="Q24" s="56">
        <v>30.9</v>
      </c>
      <c r="R24" s="56">
        <v>30.1</v>
      </c>
      <c r="S24" s="56">
        <v>28.9</v>
      </c>
      <c r="T24" s="56">
        <v>29.1</v>
      </c>
      <c r="U24" s="56">
        <v>30.1</v>
      </c>
      <c r="V24" s="56">
        <v>26.9</v>
      </c>
      <c r="W24" s="56">
        <v>30.1</v>
      </c>
      <c r="X24" s="56">
        <v>29.1</v>
      </c>
      <c r="Y24" s="56">
        <v>31.1</v>
      </c>
      <c r="Z24" s="56">
        <v>31.4</v>
      </c>
      <c r="AA24" s="56">
        <v>29.7</v>
      </c>
      <c r="AB24" s="56">
        <v>26.2</v>
      </c>
      <c r="AC24" s="56">
        <v>28.2</v>
      </c>
      <c r="AD24" s="56">
        <v>30.6</v>
      </c>
      <c r="AE24" s="56">
        <v>30.5</v>
      </c>
      <c r="AF24" s="56">
        <v>30.6</v>
      </c>
      <c r="AG24" s="56">
        <v>28.7</v>
      </c>
      <c r="AH24" s="56">
        <v>30.4</v>
      </c>
      <c r="AI24" s="56">
        <v>29.6</v>
      </c>
      <c r="AJ24" s="56"/>
      <c r="AK24" s="56"/>
      <c r="AL24" s="56"/>
      <c r="AM24" s="56"/>
      <c r="AN24" s="56"/>
      <c r="AO24" s="56"/>
      <c r="AP24" s="58">
        <f t="shared" si="0"/>
        <v>25</v>
      </c>
      <c r="AQ24" s="71">
        <f t="shared" si="1"/>
        <v>29.408000000000005</v>
      </c>
      <c r="AR24" s="71">
        <f>IFERROR(VLOOKUP(A24,Climatologia_TMED!A:U,9+$E$2,FALSE),"")</f>
        <v>28.36235848473612</v>
      </c>
      <c r="AS24" s="71">
        <f t="shared" si="2"/>
        <v>1.0456415152638847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22.4</v>
      </c>
      <c r="L25" s="56">
        <v>21.5</v>
      </c>
      <c r="M25" s="56">
        <v>21.1</v>
      </c>
      <c r="N25" s="56">
        <v>21.3</v>
      </c>
      <c r="O25" s="56">
        <v>22.4</v>
      </c>
      <c r="P25" s="56">
        <v>22.9</v>
      </c>
      <c r="Q25" s="56">
        <v>23.7</v>
      </c>
      <c r="R25" s="56">
        <v>23.3</v>
      </c>
      <c r="S25" s="56">
        <v>22.2</v>
      </c>
      <c r="T25" s="56">
        <v>23.1</v>
      </c>
      <c r="U25" s="56">
        <v>21</v>
      </c>
      <c r="V25" s="56">
        <v>20.8</v>
      </c>
      <c r="W25" s="56">
        <v>21.7</v>
      </c>
      <c r="X25" s="56">
        <v>22.7</v>
      </c>
      <c r="Y25" s="56">
        <v>22.9</v>
      </c>
      <c r="Z25" s="56">
        <v>23.8</v>
      </c>
      <c r="AA25" s="56">
        <v>23.7</v>
      </c>
      <c r="AB25" s="56">
        <v>22.2</v>
      </c>
      <c r="AC25" s="56">
        <v>18.899999999999999</v>
      </c>
      <c r="AD25" s="56">
        <v>19.5</v>
      </c>
      <c r="AE25" s="56">
        <v>19.5</v>
      </c>
      <c r="AF25" s="56">
        <v>22.1</v>
      </c>
      <c r="AG25" s="56">
        <v>20.2</v>
      </c>
      <c r="AH25" s="56">
        <v>20.5</v>
      </c>
      <c r="AI25" s="56">
        <v>22.6</v>
      </c>
      <c r="AJ25" s="56"/>
      <c r="AK25" s="56"/>
      <c r="AL25" s="56"/>
      <c r="AM25" s="56"/>
      <c r="AN25" s="56"/>
      <c r="AO25" s="56"/>
      <c r="AP25" s="58">
        <f t="shared" si="0"/>
        <v>25</v>
      </c>
      <c r="AQ25" s="71">
        <f t="shared" si="1"/>
        <v>21.839999999999996</v>
      </c>
      <c r="AR25" s="71">
        <f>IFERROR(VLOOKUP(A25,Climatologia_TMED!A:U,9+$E$2,FALSE),"")</f>
        <v>19.9334244562022</v>
      </c>
      <c r="AS25" s="71">
        <f t="shared" si="2"/>
        <v>1.9065755437977963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11.6</v>
      </c>
      <c r="L26" s="56">
        <v>11.5</v>
      </c>
      <c r="M26" s="56">
        <v>11.7</v>
      </c>
      <c r="N26" s="56">
        <v>11.9</v>
      </c>
      <c r="O26" s="56">
        <v>13.1</v>
      </c>
      <c r="P26" s="56">
        <v>11.7</v>
      </c>
      <c r="Q26" s="56">
        <v>11.7</v>
      </c>
      <c r="R26" s="56">
        <v>11.7</v>
      </c>
      <c r="S26" s="56">
        <v>12.5</v>
      </c>
      <c r="T26" s="56">
        <v>11.6</v>
      </c>
      <c r="U26" s="56">
        <v>11.7</v>
      </c>
      <c r="V26" s="56">
        <v>11.2</v>
      </c>
      <c r="W26" s="56">
        <v>10.7</v>
      </c>
      <c r="X26" s="56">
        <v>11.1</v>
      </c>
      <c r="Y26" s="56">
        <v>11.7</v>
      </c>
      <c r="Z26" s="56">
        <v>12.3</v>
      </c>
      <c r="AA26" s="56">
        <v>12</v>
      </c>
      <c r="AB26" s="56">
        <v>11.6</v>
      </c>
      <c r="AC26" s="56">
        <v>11.6</v>
      </c>
      <c r="AD26" s="56">
        <v>10.5</v>
      </c>
      <c r="AE26" s="56">
        <v>11.7</v>
      </c>
      <c r="AF26" s="56">
        <v>12.1</v>
      </c>
      <c r="AG26" s="56">
        <v>11.5</v>
      </c>
      <c r="AH26" s="56">
        <v>10.1</v>
      </c>
      <c r="AI26" s="56">
        <v>11.3</v>
      </c>
      <c r="AJ26" s="56"/>
      <c r="AK26" s="56"/>
      <c r="AL26" s="56"/>
      <c r="AM26" s="56"/>
      <c r="AN26" s="56"/>
      <c r="AO26" s="56"/>
      <c r="AP26" s="58">
        <f t="shared" si="0"/>
        <v>25</v>
      </c>
      <c r="AQ26" s="71">
        <f t="shared" si="1"/>
        <v>11.603999999999999</v>
      </c>
      <c r="AR26" s="71">
        <f>IFERROR(VLOOKUP(A26,Climatologia_TMED!A:U,9+$E$2,FALSE),"")</f>
        <v>10.370314900153589</v>
      </c>
      <c r="AS26" s="71">
        <f t="shared" si="2"/>
        <v>1.2336850998464097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28.1</v>
      </c>
      <c r="L27" s="56">
        <v>29.1</v>
      </c>
      <c r="M27" s="56">
        <v>27.2</v>
      </c>
      <c r="N27" s="56">
        <v>27.6</v>
      </c>
      <c r="O27" s="56">
        <v>28.4</v>
      </c>
      <c r="P27" s="56">
        <v>28.5</v>
      </c>
      <c r="Q27" s="56">
        <v>29.3</v>
      </c>
      <c r="R27" s="56">
        <v>28.3</v>
      </c>
      <c r="S27" s="56">
        <v>28.9</v>
      </c>
      <c r="T27" s="56">
        <v>27.5</v>
      </c>
      <c r="U27" s="56">
        <v>27.9</v>
      </c>
      <c r="V27" s="56">
        <v>25</v>
      </c>
      <c r="W27" s="56">
        <v>28.9</v>
      </c>
      <c r="X27" s="56">
        <v>29.9</v>
      </c>
      <c r="Y27" s="56">
        <v>28.6</v>
      </c>
      <c r="Z27" s="56">
        <v>30.5</v>
      </c>
      <c r="AA27" s="56">
        <v>30.1</v>
      </c>
      <c r="AB27" s="56">
        <v>28.5</v>
      </c>
      <c r="AC27" s="56">
        <v>25.5</v>
      </c>
      <c r="AD27" s="56">
        <v>26</v>
      </c>
      <c r="AE27" s="56">
        <v>27.6</v>
      </c>
      <c r="AF27" s="56">
        <v>27.6</v>
      </c>
      <c r="AG27" s="56">
        <v>26.2</v>
      </c>
      <c r="AH27" s="56">
        <v>28.1</v>
      </c>
      <c r="AI27" s="56">
        <v>29.5</v>
      </c>
      <c r="AJ27" s="56"/>
      <c r="AK27" s="56"/>
      <c r="AL27" s="56"/>
      <c r="AM27" s="56"/>
      <c r="AN27" s="56"/>
      <c r="AO27" s="56"/>
      <c r="AP27" s="58">
        <f t="shared" si="0"/>
        <v>25</v>
      </c>
      <c r="AQ27" s="71">
        <f t="shared" si="1"/>
        <v>28.112000000000002</v>
      </c>
      <c r="AR27" s="71">
        <f>IFERROR(VLOOKUP(A27,Climatologia_TMED!A:U,9+$E$2,FALSE),"")</f>
        <v>26.988705969595848</v>
      </c>
      <c r="AS27" s="71">
        <f t="shared" si="2"/>
        <v>1.1232940304041534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28.1</v>
      </c>
      <c r="L28" s="56">
        <v>25.2</v>
      </c>
      <c r="M28" s="56">
        <v>24.7</v>
      </c>
      <c r="N28" s="56">
        <v>26.6</v>
      </c>
      <c r="O28" s="56">
        <v>26</v>
      </c>
      <c r="P28" s="56">
        <v>27.3</v>
      </c>
      <c r="Q28" s="56">
        <v>27.5</v>
      </c>
      <c r="R28" s="56">
        <v>27.3</v>
      </c>
      <c r="S28" s="56">
        <v>24.3</v>
      </c>
      <c r="T28" s="56">
        <v>25.1</v>
      </c>
      <c r="U28" s="56">
        <v>26.3</v>
      </c>
      <c r="V28" s="56">
        <v>24.1</v>
      </c>
      <c r="W28" s="56">
        <v>27.5</v>
      </c>
      <c r="X28" s="56">
        <v>25.7</v>
      </c>
      <c r="Y28" s="56">
        <v>27.9</v>
      </c>
      <c r="Z28" s="56">
        <v>28.7</v>
      </c>
      <c r="AA28" s="56">
        <v>29.4</v>
      </c>
      <c r="AB28" s="56">
        <v>28.7</v>
      </c>
      <c r="AC28" s="56">
        <v>27.5</v>
      </c>
      <c r="AD28" s="56">
        <v>24.1</v>
      </c>
      <c r="AE28" s="56">
        <v>27.2</v>
      </c>
      <c r="AF28" s="56">
        <v>25.2</v>
      </c>
      <c r="AG28" s="56">
        <v>26.4</v>
      </c>
      <c r="AH28" s="56">
        <v>28.9</v>
      </c>
      <c r="AI28" s="56">
        <v>25.3</v>
      </c>
      <c r="AJ28" s="56"/>
      <c r="AK28" s="56"/>
      <c r="AL28" s="56"/>
      <c r="AM28" s="56"/>
      <c r="AN28" s="56"/>
      <c r="AO28" s="56"/>
      <c r="AP28" s="58">
        <f t="shared" si="0"/>
        <v>25</v>
      </c>
      <c r="AQ28" s="71">
        <f t="shared" si="1"/>
        <v>26.6</v>
      </c>
      <c r="AR28" s="71">
        <f>IFERROR(VLOOKUP(A28,Climatologia_TMED!A:U,9+$E$2,FALSE),"")</f>
        <v>25.751418551476942</v>
      </c>
      <c r="AS28" s="71">
        <f t="shared" si="2"/>
        <v>0.84858144852305983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28.5</v>
      </c>
      <c r="L29" s="56">
        <v>27.1</v>
      </c>
      <c r="M29" s="56">
        <v>27.5</v>
      </c>
      <c r="N29" s="56">
        <v>25.8</v>
      </c>
      <c r="O29" s="56">
        <v>24.1</v>
      </c>
      <c r="P29" s="56">
        <v>28.4</v>
      </c>
      <c r="Q29" s="56">
        <v>27.5</v>
      </c>
      <c r="R29" s="56">
        <v>28.3</v>
      </c>
      <c r="S29" s="56">
        <v>27.9</v>
      </c>
      <c r="T29" s="56">
        <v>25.6</v>
      </c>
      <c r="U29" s="56">
        <v>28.9</v>
      </c>
      <c r="V29" s="56">
        <v>27.1</v>
      </c>
      <c r="W29" s="56">
        <v>27.5</v>
      </c>
      <c r="X29" s="56">
        <v>28.9</v>
      </c>
      <c r="Y29" s="56">
        <v>28.7</v>
      </c>
      <c r="Z29" s="56">
        <v>29.9</v>
      </c>
      <c r="AA29" s="56">
        <v>31</v>
      </c>
      <c r="AB29" s="56">
        <v>25.8</v>
      </c>
      <c r="AC29" s="56">
        <v>26.1</v>
      </c>
      <c r="AD29" s="56">
        <v>27</v>
      </c>
      <c r="AE29" s="56">
        <v>29</v>
      </c>
      <c r="AF29" s="56">
        <v>28.2</v>
      </c>
      <c r="AG29" s="56">
        <v>27.4</v>
      </c>
      <c r="AH29" s="56">
        <v>28.4</v>
      </c>
      <c r="AI29" s="56">
        <v>28.7</v>
      </c>
      <c r="AJ29" s="56"/>
      <c r="AK29" s="56"/>
      <c r="AL29" s="56"/>
      <c r="AM29" s="56"/>
      <c r="AN29" s="56"/>
      <c r="AO29" s="56"/>
      <c r="AP29" s="58">
        <f t="shared" si="0"/>
        <v>25</v>
      </c>
      <c r="AQ29" s="71">
        <f t="shared" si="1"/>
        <v>27.732000000000003</v>
      </c>
      <c r="AR29" s="71">
        <f>IFERROR(VLOOKUP(A29,Climatologia_TMED!A:U,9+$E$2,FALSE),"")</f>
        <v>26.954042214257239</v>
      </c>
      <c r="AS29" s="71">
        <f t="shared" si="2"/>
        <v>0.77795778574276397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26.5</v>
      </c>
      <c r="L30" s="56">
        <v>22.6</v>
      </c>
      <c r="M30" s="56">
        <v>23.8</v>
      </c>
      <c r="N30" s="56">
        <v>24.3</v>
      </c>
      <c r="O30" s="56">
        <v>24.3</v>
      </c>
      <c r="P30" s="56">
        <v>26.1</v>
      </c>
      <c r="Q30" s="56">
        <v>23.5</v>
      </c>
      <c r="R30" s="56">
        <v>26.3</v>
      </c>
      <c r="S30" s="56">
        <v>22.9</v>
      </c>
      <c r="T30" s="56">
        <v>25.6</v>
      </c>
      <c r="U30" s="56">
        <v>25.9</v>
      </c>
      <c r="V30" s="56">
        <v>25.4</v>
      </c>
      <c r="W30" s="56">
        <v>26.3</v>
      </c>
      <c r="X30" s="56">
        <v>26.2</v>
      </c>
      <c r="Y30" s="56">
        <v>25.3</v>
      </c>
      <c r="Z30" s="56">
        <v>25.6</v>
      </c>
      <c r="AA30" s="56">
        <v>27.1</v>
      </c>
      <c r="AB30" s="56">
        <v>24.4</v>
      </c>
      <c r="AC30" s="56">
        <v>24.9</v>
      </c>
      <c r="AD30" s="56">
        <v>25.4</v>
      </c>
      <c r="AE30" s="56">
        <v>26</v>
      </c>
      <c r="AF30" s="56">
        <v>26.1</v>
      </c>
      <c r="AG30" s="56">
        <v>24.1</v>
      </c>
      <c r="AH30" s="56">
        <v>27</v>
      </c>
      <c r="AI30" s="56">
        <v>26</v>
      </c>
      <c r="AJ30" s="56"/>
      <c r="AK30" s="56"/>
      <c r="AL30" s="56"/>
      <c r="AM30" s="56"/>
      <c r="AN30" s="56"/>
      <c r="AO30" s="56"/>
      <c r="AP30" s="58">
        <f t="shared" si="0"/>
        <v>25</v>
      </c>
      <c r="AQ30" s="71">
        <f t="shared" si="1"/>
        <v>25.263999999999999</v>
      </c>
      <c r="AR30" s="71">
        <f>IFERROR(VLOOKUP(A30,Climatologia_TMED!A:U,9+$E$2,FALSE),"")</f>
        <v>24.518001483129371</v>
      </c>
      <c r="AS30" s="71">
        <f t="shared" si="2"/>
        <v>0.74599851687062824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25.6</v>
      </c>
      <c r="L31" s="98">
        <v>27.2</v>
      </c>
      <c r="M31" s="98">
        <v>27.6</v>
      </c>
      <c r="N31" s="98">
        <v>25.2</v>
      </c>
      <c r="O31" s="98">
        <v>26.4</v>
      </c>
      <c r="P31" s="98">
        <v>26.4</v>
      </c>
      <c r="Q31" s="98">
        <v>27.2</v>
      </c>
      <c r="R31" s="98">
        <v>25.6</v>
      </c>
      <c r="S31" s="98">
        <v>26.6</v>
      </c>
      <c r="T31" s="98">
        <v>27</v>
      </c>
      <c r="U31" s="98">
        <v>24.9</v>
      </c>
      <c r="V31" s="98">
        <v>27.2</v>
      </c>
      <c r="W31" s="98">
        <v>26</v>
      </c>
      <c r="X31" s="98">
        <v>26.6</v>
      </c>
      <c r="Y31" s="98">
        <v>25.4</v>
      </c>
      <c r="Z31" s="98">
        <v>27.8</v>
      </c>
      <c r="AA31" s="98">
        <v>28.3</v>
      </c>
      <c r="AB31" s="98">
        <v>28</v>
      </c>
      <c r="AC31" s="98">
        <v>27.7</v>
      </c>
      <c r="AD31" s="98">
        <v>28.4</v>
      </c>
      <c r="AE31" s="98">
        <v>28</v>
      </c>
      <c r="AF31" s="98">
        <v>27.9</v>
      </c>
      <c r="AG31" s="98">
        <v>28.1</v>
      </c>
      <c r="AH31" s="98">
        <v>25.2</v>
      </c>
      <c r="AI31" s="98">
        <v>26.4</v>
      </c>
      <c r="AJ31" s="98"/>
      <c r="AK31" s="98"/>
      <c r="AL31" s="98"/>
      <c r="AM31" s="98"/>
      <c r="AN31" s="98"/>
      <c r="AO31" s="98"/>
      <c r="AP31" s="58">
        <f t="shared" si="0"/>
        <v>25</v>
      </c>
      <c r="AQ31" s="71">
        <f t="shared" si="1"/>
        <v>26.827999999999996</v>
      </c>
      <c r="AR31" s="71">
        <f>IFERROR(VLOOKUP(A31,Climatologia_TMED!A:U,9+$E$2,FALSE),"")</f>
        <v>25.368948626045398</v>
      </c>
      <c r="AS31" s="71">
        <f t="shared" si="2"/>
        <v>1.4590513739545976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21.733333333333331</v>
      </c>
      <c r="L32" s="56">
        <v>20.8</v>
      </c>
      <c r="M32" s="56">
        <v>20.666666666666671</v>
      </c>
      <c r="N32" s="56">
        <v>21.2</v>
      </c>
      <c r="O32" s="56">
        <v>19.600000000000001</v>
      </c>
      <c r="P32" s="56">
        <v>19.2</v>
      </c>
      <c r="Q32" s="56">
        <v>21.333333333333329</v>
      </c>
      <c r="R32" s="56">
        <v>20.166666666666671</v>
      </c>
      <c r="S32" s="56">
        <v>21.466666666666669</v>
      </c>
      <c r="T32" s="56">
        <v>21.06666666666667</v>
      </c>
      <c r="U32" s="56">
        <v>20.8</v>
      </c>
      <c r="V32" s="56">
        <v>20.666666666666671</v>
      </c>
      <c r="W32" s="56">
        <v>20.666666666666671</v>
      </c>
      <c r="X32" s="56">
        <v>20</v>
      </c>
      <c r="Y32" s="56">
        <v>20.06666666666667</v>
      </c>
      <c r="Z32" s="56">
        <v>19.866666666666671</v>
      </c>
      <c r="AA32" s="56">
        <v>20.6</v>
      </c>
      <c r="AB32" s="56">
        <v>20.266666666666669</v>
      </c>
      <c r="AC32" s="56">
        <v>21.13333333333334</v>
      </c>
      <c r="AD32" s="56">
        <v>20.533333333333331</v>
      </c>
      <c r="AE32" s="56">
        <v>20.6</v>
      </c>
      <c r="AF32" s="56">
        <v>20.666666666666671</v>
      </c>
      <c r="AG32" s="56">
        <v>19.466666666666669</v>
      </c>
      <c r="AH32" s="56">
        <v>20.333333333333329</v>
      </c>
      <c r="AI32" s="56">
        <v>20.6</v>
      </c>
      <c r="AJ32" s="56"/>
      <c r="AK32" s="56"/>
      <c r="AL32" s="56"/>
      <c r="AM32" s="56"/>
      <c r="AN32" s="56"/>
      <c r="AO32" s="56"/>
      <c r="AP32" s="58">
        <f t="shared" si="0"/>
        <v>25</v>
      </c>
      <c r="AQ32" s="71">
        <f t="shared" si="1"/>
        <v>20.54</v>
      </c>
      <c r="AR32" s="71">
        <f>IFERROR(VLOOKUP(A32,Climatologia_TMED!A:U,9+$E$2,FALSE),"")</f>
        <v>17.656856052108839</v>
      </c>
      <c r="AS32" s="71">
        <f t="shared" si="2"/>
        <v>2.8831439478911598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28.15</v>
      </c>
      <c r="L33" s="56">
        <v>28.2</v>
      </c>
      <c r="M33" s="56">
        <v>27.6</v>
      </c>
      <c r="N33" s="56">
        <v>26.7</v>
      </c>
      <c r="O33" s="56">
        <v>29.35</v>
      </c>
      <c r="P33" s="56">
        <v>27.2</v>
      </c>
      <c r="Q33" s="56">
        <v>29.5</v>
      </c>
      <c r="R33" s="56">
        <v>29.35</v>
      </c>
      <c r="S33" s="56">
        <v>25.1</v>
      </c>
      <c r="T33" s="56">
        <v>28.7</v>
      </c>
      <c r="U33" s="56">
        <v>26.85</v>
      </c>
      <c r="V33" s="56">
        <v>26.95</v>
      </c>
      <c r="W33" s="56">
        <v>28.4</v>
      </c>
      <c r="X33" s="56">
        <v>29.1</v>
      </c>
      <c r="Y33" s="56">
        <v>29.7</v>
      </c>
      <c r="Z33" s="56">
        <v>27.65</v>
      </c>
      <c r="AA33" s="56">
        <v>29.3</v>
      </c>
      <c r="AB33" s="56">
        <v>28.25</v>
      </c>
      <c r="AC33" s="56">
        <v>27.25</v>
      </c>
      <c r="AD33" s="56">
        <v>27.75</v>
      </c>
      <c r="AE33" s="56">
        <v>27.45</v>
      </c>
      <c r="AF33" s="56">
        <v>28.4</v>
      </c>
      <c r="AG33" s="56">
        <v>24.95</v>
      </c>
      <c r="AH33" s="56">
        <v>27.45</v>
      </c>
      <c r="AI33" s="56">
        <v>29.2</v>
      </c>
      <c r="AJ33" s="56"/>
      <c r="AK33" s="56"/>
      <c r="AL33" s="56"/>
      <c r="AM33" s="56"/>
      <c r="AN33" s="56"/>
      <c r="AO33" s="56"/>
      <c r="AP33" s="58">
        <f t="shared" si="0"/>
        <v>25</v>
      </c>
      <c r="AQ33" s="71">
        <f t="shared" si="1"/>
        <v>27.940000000000005</v>
      </c>
      <c r="AR33" s="71">
        <f>IFERROR(VLOOKUP(A33,Climatologia_TMED!A:U,9+$E$2,FALSE),"")</f>
        <v>26.827472081212552</v>
      </c>
      <c r="AS33" s="71">
        <f t="shared" si="2"/>
        <v>1.1125279187874533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21.266666666666669</v>
      </c>
      <c r="L34" s="56">
        <v>20.666666666666671</v>
      </c>
      <c r="M34" s="56">
        <v>20.93333333333333</v>
      </c>
      <c r="N34" s="56">
        <v>19.733333333333331</v>
      </c>
      <c r="O34" s="56">
        <v>21</v>
      </c>
      <c r="P34" s="56">
        <v>22.333333333333329</v>
      </c>
      <c r="Q34" s="56">
        <v>23.13333333333334</v>
      </c>
      <c r="R34" s="56">
        <v>22.266666666666669</v>
      </c>
      <c r="S34" s="56">
        <v>20.399999999999999</v>
      </c>
      <c r="T34" s="56">
        <v>21.8</v>
      </c>
      <c r="U34" s="56">
        <v>21.266666666666669</v>
      </c>
      <c r="V34" s="56">
        <v>21.333333333333329</v>
      </c>
      <c r="W34" s="56">
        <v>21.6</v>
      </c>
      <c r="X34" s="56">
        <v>22.06666666666667</v>
      </c>
      <c r="Y34" s="56">
        <v>21.333333333333329</v>
      </c>
      <c r="Z34" s="56">
        <v>20.93333333333333</v>
      </c>
      <c r="AA34" s="56">
        <v>22.266666666666669</v>
      </c>
      <c r="AB34" s="56">
        <v>22</v>
      </c>
      <c r="AC34" s="56">
        <v>21.06666666666667</v>
      </c>
      <c r="AD34" s="56">
        <v>20</v>
      </c>
      <c r="AE34" s="56">
        <v>20.93333333333333</v>
      </c>
      <c r="AF34" s="56">
        <v>21.466666666666669</v>
      </c>
      <c r="AG34" s="56">
        <v>20.333333333333329</v>
      </c>
      <c r="AH34" s="56">
        <v>20.93333333333333</v>
      </c>
      <c r="AI34" s="56">
        <v>21.333333333333329</v>
      </c>
      <c r="AJ34" s="56"/>
      <c r="AK34" s="56"/>
      <c r="AL34" s="56"/>
      <c r="AM34" s="56"/>
      <c r="AN34" s="56"/>
      <c r="AO34" s="56"/>
      <c r="AP34" s="58">
        <f t="shared" si="0"/>
        <v>25</v>
      </c>
      <c r="AQ34" s="71">
        <f t="shared" si="1"/>
        <v>21.296000000000003</v>
      </c>
      <c r="AR34" s="71">
        <f>IFERROR(VLOOKUP(A34,Climatologia_TMED!A:U,9+$E$2,FALSE),"")</f>
        <v>19.787197591680322</v>
      </c>
      <c r="AS34" s="71">
        <f t="shared" si="2"/>
        <v>1.5088024083196814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26.2</v>
      </c>
      <c r="L35" s="56">
        <v>24.6</v>
      </c>
      <c r="M35" s="56">
        <v>24.4</v>
      </c>
      <c r="N35" s="56">
        <v>23.7</v>
      </c>
      <c r="O35" s="56">
        <v>23.95</v>
      </c>
      <c r="P35" s="56">
        <v>24.05</v>
      </c>
      <c r="Q35" s="56">
        <v>26.2</v>
      </c>
      <c r="R35" s="56">
        <v>26.05</v>
      </c>
      <c r="S35" s="56">
        <v>21.55</v>
      </c>
      <c r="T35" s="56">
        <v>24.15</v>
      </c>
      <c r="U35" s="56">
        <v>23.65</v>
      </c>
      <c r="V35" s="56">
        <v>23.85</v>
      </c>
      <c r="W35" s="56">
        <v>25.85</v>
      </c>
      <c r="X35" s="56">
        <v>26.1</v>
      </c>
      <c r="Y35" s="56">
        <v>24.65</v>
      </c>
      <c r="Z35" s="56">
        <v>24.6</v>
      </c>
      <c r="AA35" s="56">
        <v>24.7</v>
      </c>
      <c r="AB35" s="56">
        <v>25.8</v>
      </c>
      <c r="AC35" s="56">
        <v>26.15</v>
      </c>
      <c r="AD35" s="56">
        <v>23.55</v>
      </c>
      <c r="AE35" s="56">
        <v>24</v>
      </c>
      <c r="AF35" s="56">
        <v>24.55</v>
      </c>
      <c r="AG35" s="56">
        <v>22.15</v>
      </c>
      <c r="AH35" s="56">
        <v>23</v>
      </c>
      <c r="AI35" s="56">
        <v>26.1</v>
      </c>
      <c r="AJ35" s="56"/>
      <c r="AK35" s="56"/>
      <c r="AL35" s="56"/>
      <c r="AM35" s="56"/>
      <c r="AN35" s="56"/>
      <c r="AO35" s="56"/>
      <c r="AP35" s="58">
        <f t="shared" si="0"/>
        <v>25</v>
      </c>
      <c r="AQ35" s="71">
        <f t="shared" si="1"/>
        <v>24.541999999999998</v>
      </c>
      <c r="AR35" s="71">
        <f>IFERROR(VLOOKUP(A35,Climatologia_TMED!A:U,9+$E$2,FALSE),"")</f>
        <v>24.038247899717401</v>
      </c>
      <c r="AS35" s="71">
        <f t="shared" si="2"/>
        <v>0.50375210028259687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20.75</v>
      </c>
      <c r="L36" s="56">
        <v>19.5</v>
      </c>
      <c r="M36" s="56">
        <v>18.350000000000001</v>
      </c>
      <c r="N36" s="56">
        <v>18.5</v>
      </c>
      <c r="O36" s="56">
        <v>20.45</v>
      </c>
      <c r="P36" s="56">
        <v>21.5</v>
      </c>
      <c r="Q36" s="56">
        <v>21.05</v>
      </c>
      <c r="R36" s="56">
        <v>21.6</v>
      </c>
      <c r="S36" s="56">
        <v>20.3</v>
      </c>
      <c r="T36" s="56">
        <v>20.65</v>
      </c>
      <c r="U36" s="56">
        <v>20.2</v>
      </c>
      <c r="V36" s="56">
        <v>18.899999999999999</v>
      </c>
      <c r="W36" s="56">
        <v>20.100000000000001</v>
      </c>
      <c r="X36" s="56">
        <v>21</v>
      </c>
      <c r="Y36" s="56">
        <v>20.55</v>
      </c>
      <c r="Z36" s="56">
        <v>20.85</v>
      </c>
      <c r="AA36" s="56">
        <v>20.75</v>
      </c>
      <c r="AB36" s="56">
        <v>20.45</v>
      </c>
      <c r="AC36" s="56">
        <v>19.850000000000001</v>
      </c>
      <c r="AD36" s="56">
        <v>17.899999999999999</v>
      </c>
      <c r="AE36" s="56">
        <v>18.75</v>
      </c>
      <c r="AF36" s="56">
        <v>21.05</v>
      </c>
      <c r="AG36" s="56">
        <v>19.45</v>
      </c>
      <c r="AH36" s="56">
        <v>19</v>
      </c>
      <c r="AI36" s="56">
        <v>19.55</v>
      </c>
      <c r="AJ36" s="56"/>
      <c r="AK36" s="56"/>
      <c r="AL36" s="56"/>
      <c r="AM36" s="56"/>
      <c r="AN36" s="56"/>
      <c r="AO36" s="56"/>
      <c r="AP36" s="58">
        <f t="shared" si="0"/>
        <v>25</v>
      </c>
      <c r="AQ36" s="71">
        <f t="shared" si="1"/>
        <v>20.040000000000003</v>
      </c>
      <c r="AR36" s="71">
        <f>IFERROR(VLOOKUP(A36,Climatologia_TMED!A:U,9+$E$2,FALSE),"")</f>
        <v>18.99881106321839</v>
      </c>
      <c r="AS36" s="71">
        <f t="shared" si="2"/>
        <v>1.0411889367816123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27.9</v>
      </c>
      <c r="L37" s="56">
        <v>25.65</v>
      </c>
      <c r="M37" s="56">
        <v>26.85</v>
      </c>
      <c r="N37" s="56">
        <v>25.8</v>
      </c>
      <c r="O37" s="56">
        <v>27.05</v>
      </c>
      <c r="P37" s="56">
        <v>27.85</v>
      </c>
      <c r="Q37" s="56">
        <v>28.45</v>
      </c>
      <c r="R37" s="56">
        <v>27.25</v>
      </c>
      <c r="S37" s="56">
        <v>27.3</v>
      </c>
      <c r="T37" s="56">
        <v>28.9</v>
      </c>
      <c r="U37" s="56">
        <v>26.75</v>
      </c>
      <c r="V37" s="56">
        <v>26.85</v>
      </c>
      <c r="W37" s="56">
        <v>28.7</v>
      </c>
      <c r="X37" s="56">
        <v>28.2</v>
      </c>
      <c r="Y37" s="56">
        <v>27.1</v>
      </c>
      <c r="Z37" s="56">
        <v>28.3</v>
      </c>
      <c r="AA37" s="56">
        <v>28.05</v>
      </c>
      <c r="AB37" s="56">
        <v>27.95</v>
      </c>
      <c r="AC37" s="56">
        <v>26.85</v>
      </c>
      <c r="AD37" s="56">
        <v>27.7</v>
      </c>
      <c r="AE37" s="56">
        <v>27.2</v>
      </c>
      <c r="AF37" s="56">
        <v>28.25</v>
      </c>
      <c r="AG37" s="56">
        <v>25.1</v>
      </c>
      <c r="AH37" s="56">
        <v>27.45</v>
      </c>
      <c r="AI37" s="56">
        <v>27.4</v>
      </c>
      <c r="AJ37" s="56"/>
      <c r="AK37" s="56"/>
      <c r="AL37" s="56"/>
      <c r="AM37" s="56"/>
      <c r="AN37" s="56"/>
      <c r="AO37" s="56"/>
      <c r="AP37" s="58">
        <f t="shared" si="0"/>
        <v>25</v>
      </c>
      <c r="AQ37" s="71">
        <f t="shared" si="1"/>
        <v>27.394000000000005</v>
      </c>
      <c r="AR37" s="71">
        <f>IFERROR(VLOOKUP(A37,Climatologia_TMED!A:U,9+$E$2,FALSE),"")</f>
        <v>25.886229873937381</v>
      </c>
      <c r="AS37" s="71">
        <f t="shared" si="2"/>
        <v>1.5077701260626242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17.2</v>
      </c>
      <c r="L38" s="56">
        <v>15.4</v>
      </c>
      <c r="M38" s="56">
        <v>16.399999999999999</v>
      </c>
      <c r="N38" s="56">
        <v>14.95</v>
      </c>
      <c r="O38" s="56">
        <v>15.95</v>
      </c>
      <c r="P38" s="56">
        <v>15.6</v>
      </c>
      <c r="Q38" s="56">
        <v>17.2</v>
      </c>
      <c r="R38" s="56">
        <v>17.25</v>
      </c>
      <c r="S38" s="56">
        <v>15.6</v>
      </c>
      <c r="T38" s="56">
        <v>16.7</v>
      </c>
      <c r="U38" s="56">
        <v>15.4</v>
      </c>
      <c r="V38" s="56">
        <v>14.75</v>
      </c>
      <c r="W38" s="56">
        <v>16</v>
      </c>
      <c r="X38" s="56"/>
      <c r="Y38" s="56">
        <v>16.100000000000001</v>
      </c>
      <c r="Z38" s="56">
        <v>16.2</v>
      </c>
      <c r="AA38" s="56">
        <v>17.45</v>
      </c>
      <c r="AB38" s="56">
        <v>15.95</v>
      </c>
      <c r="AC38" s="56">
        <v>15.5</v>
      </c>
      <c r="AD38" s="56"/>
      <c r="AE38" s="56">
        <v>15.85</v>
      </c>
      <c r="AF38" s="56">
        <v>15.55</v>
      </c>
      <c r="AG38" s="56">
        <v>14.9</v>
      </c>
      <c r="AH38" s="56">
        <v>16.3</v>
      </c>
      <c r="AI38" s="56">
        <v>15.2</v>
      </c>
      <c r="AJ38" s="56"/>
      <c r="AK38" s="56"/>
      <c r="AL38" s="56"/>
      <c r="AM38" s="56"/>
      <c r="AN38" s="56"/>
      <c r="AO38" s="56"/>
      <c r="AP38" s="58">
        <f t="shared" si="0"/>
        <v>23</v>
      </c>
      <c r="AQ38" s="71">
        <f t="shared" si="1"/>
        <v>15.973913043478261</v>
      </c>
      <c r="AR38" s="71">
        <f>IFERROR(VLOOKUP(A38,Climatologia_TMED!A:U,9+$E$2,FALSE),"")</f>
        <v>15.017929006950681</v>
      </c>
      <c r="AS38" s="71">
        <f t="shared" si="2"/>
        <v>0.95598403652758002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23.466666666666669</v>
      </c>
      <c r="L39" s="56">
        <v>23.4</v>
      </c>
      <c r="M39" s="56">
        <v>22.666666666666671</v>
      </c>
      <c r="N39" s="56">
        <v>19.666666666666671</v>
      </c>
      <c r="O39" s="56">
        <v>22.13333333333334</v>
      </c>
      <c r="P39" s="56">
        <v>24.266666666666669</v>
      </c>
      <c r="Q39" s="56">
        <v>24.333333333333329</v>
      </c>
      <c r="R39" s="56">
        <v>24.4</v>
      </c>
      <c r="S39" s="56">
        <v>20.866666666666671</v>
      </c>
      <c r="T39" s="56">
        <v>23.13333333333334</v>
      </c>
      <c r="U39" s="56">
        <v>21.733333333333331</v>
      </c>
      <c r="V39" s="56">
        <v>20.133333333333329</v>
      </c>
      <c r="W39" s="56">
        <v>22.8</v>
      </c>
      <c r="X39" s="56"/>
      <c r="Y39" s="56">
        <v>23</v>
      </c>
      <c r="Z39" s="56">
        <v>24.666666666666671</v>
      </c>
      <c r="AA39" s="56">
        <v>24.93333333333333</v>
      </c>
      <c r="AB39" s="56">
        <v>23.2</v>
      </c>
      <c r="AC39" s="56">
        <v>21.4</v>
      </c>
      <c r="AD39" s="56">
        <v>19.733333333333331</v>
      </c>
      <c r="AE39" s="56">
        <v>21.333333333333329</v>
      </c>
      <c r="AF39" s="56">
        <v>21.8</v>
      </c>
      <c r="AG39" s="56">
        <v>19.13333333333334</v>
      </c>
      <c r="AH39" s="56">
        <v>21.86666666666666</v>
      </c>
      <c r="AI39" s="56">
        <v>21.8</v>
      </c>
      <c r="AJ39" s="56"/>
      <c r="AK39" s="56"/>
      <c r="AL39" s="56"/>
      <c r="AM39" s="56"/>
      <c r="AN39" s="56"/>
      <c r="AO39" s="56"/>
      <c r="AP39" s="58">
        <f t="shared" si="0"/>
        <v>24</v>
      </c>
      <c r="AQ39" s="71">
        <f t="shared" si="1"/>
        <v>22.327777777777779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25.666666666666671</v>
      </c>
      <c r="L40" s="56"/>
      <c r="M40" s="56">
        <v>25.6</v>
      </c>
      <c r="N40" s="56">
        <v>23.4</v>
      </c>
      <c r="O40" s="56">
        <v>24.733333333333331</v>
      </c>
      <c r="P40" s="56">
        <v>27.13333333333334</v>
      </c>
      <c r="Q40" s="56">
        <v>27.533333333333331</v>
      </c>
      <c r="R40" s="56">
        <v>27.06666666666667</v>
      </c>
      <c r="S40" s="56">
        <v>24.333333333333329</v>
      </c>
      <c r="T40" s="56">
        <v>25.466666666666669</v>
      </c>
      <c r="U40" s="56">
        <v>25.06666666666667</v>
      </c>
      <c r="V40" s="56">
        <v>22.266666666666669</v>
      </c>
      <c r="W40" s="56"/>
      <c r="X40" s="56"/>
      <c r="Y40" s="56">
        <v>25.2</v>
      </c>
      <c r="Z40" s="56">
        <v>26.733333333333331</v>
      </c>
      <c r="AA40" s="56">
        <v>26.2</v>
      </c>
      <c r="AB40" s="56">
        <v>26.2</v>
      </c>
      <c r="AC40" s="56">
        <v>24.8</v>
      </c>
      <c r="AD40" s="56"/>
      <c r="AE40" s="56"/>
      <c r="AF40" s="56">
        <v>25.15</v>
      </c>
      <c r="AG40" s="56"/>
      <c r="AH40" s="56">
        <v>24.333333333333329</v>
      </c>
      <c r="AI40" s="56">
        <v>24.13333333333334</v>
      </c>
      <c r="AJ40" s="56"/>
      <c r="AK40" s="56"/>
      <c r="AL40" s="56"/>
      <c r="AM40" s="56"/>
      <c r="AN40" s="56"/>
      <c r="AO40" s="56"/>
      <c r="AP40" s="58">
        <f t="shared" si="0"/>
        <v>19</v>
      </c>
      <c r="AQ40" s="71">
        <f t="shared" si="1"/>
        <v>25.316666666666663</v>
      </c>
      <c r="AR40" s="71">
        <f>IFERROR(VLOOKUP(A40,Climatologia_TMED!A:U,9+$E$2,FALSE),"")</f>
        <v>22.851790748426971</v>
      </c>
      <c r="AS40" s="71">
        <f t="shared" si="2"/>
        <v>2.4648759182396915</v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20.733333333333331</v>
      </c>
      <c r="L41" s="56">
        <v>20</v>
      </c>
      <c r="M41" s="56">
        <v>21.2</v>
      </c>
      <c r="N41" s="56">
        <v>20.399999999999999</v>
      </c>
      <c r="O41" s="56">
        <v>21</v>
      </c>
      <c r="P41" s="56">
        <v>21.6</v>
      </c>
      <c r="Q41" s="56">
        <v>21.933333333333341</v>
      </c>
      <c r="R41" s="56">
        <v>21.86666666666666</v>
      </c>
      <c r="S41" s="56">
        <v>21.133333333333329</v>
      </c>
      <c r="T41" s="56">
        <v>21.6</v>
      </c>
      <c r="U41" s="56">
        <v>19.600000000000001</v>
      </c>
      <c r="V41" s="56">
        <v>18.399999999999999</v>
      </c>
      <c r="W41" s="56">
        <v>20.133333333333329</v>
      </c>
      <c r="X41" s="56">
        <v>21.266666666666669</v>
      </c>
      <c r="Y41" s="56">
        <v>19.533333333333331</v>
      </c>
      <c r="Z41" s="56">
        <v>21.533333333333331</v>
      </c>
      <c r="AA41" s="56">
        <v>20.333333333333329</v>
      </c>
      <c r="AB41" s="56">
        <v>18.86666666666666</v>
      </c>
      <c r="AC41" s="56"/>
      <c r="AD41" s="56">
        <v>17.899999999999999</v>
      </c>
      <c r="AE41" s="56">
        <v>19.8</v>
      </c>
      <c r="AF41" s="56">
        <v>18.8</v>
      </c>
      <c r="AG41" s="56">
        <v>18.399999999999999</v>
      </c>
      <c r="AH41" s="56">
        <v>18</v>
      </c>
      <c r="AI41" s="56">
        <v>20.466666666666669</v>
      </c>
      <c r="AJ41" s="56"/>
      <c r="AK41" s="56"/>
      <c r="AL41" s="56"/>
      <c r="AM41" s="56"/>
      <c r="AN41" s="56"/>
      <c r="AO41" s="56"/>
      <c r="AP41" s="58">
        <f t="shared" si="0"/>
        <v>24</v>
      </c>
      <c r="AQ41" s="71">
        <f t="shared" si="1"/>
        <v>20.187499999999996</v>
      </c>
      <c r="AR41" s="71">
        <f>IFERROR(VLOOKUP(A41,Climatologia_TMED!A:U,9+$E$2,FALSE),"")</f>
        <v>18.492109191327739</v>
      </c>
      <c r="AS41" s="71">
        <f t="shared" si="2"/>
        <v>1.6953908086722578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28.85</v>
      </c>
      <c r="L42" s="56">
        <v>28.4</v>
      </c>
      <c r="M42" s="56">
        <v>27.5</v>
      </c>
      <c r="N42" s="56">
        <v>26.8</v>
      </c>
      <c r="O42" s="56">
        <v>28.7</v>
      </c>
      <c r="P42" s="56">
        <v>28.45</v>
      </c>
      <c r="Q42" s="56">
        <v>28.65</v>
      </c>
      <c r="R42" s="56">
        <v>28.5</v>
      </c>
      <c r="S42" s="56">
        <v>25.8</v>
      </c>
      <c r="T42" s="56">
        <v>28.15</v>
      </c>
      <c r="U42" s="56">
        <v>28.6</v>
      </c>
      <c r="V42" s="56">
        <v>27.95</v>
      </c>
      <c r="W42" s="56">
        <v>26.9</v>
      </c>
      <c r="X42" s="56">
        <v>28.95</v>
      </c>
      <c r="Y42" s="56">
        <v>28.9</v>
      </c>
      <c r="Z42" s="56">
        <v>29.55</v>
      </c>
      <c r="AA42" s="56">
        <v>29.05</v>
      </c>
      <c r="AB42" s="56">
        <v>28.6</v>
      </c>
      <c r="AC42" s="56">
        <v>28.5</v>
      </c>
      <c r="AD42" s="56">
        <v>26.55</v>
      </c>
      <c r="AE42" s="56">
        <v>27.824999999999999</v>
      </c>
      <c r="AF42" s="56">
        <v>28.6</v>
      </c>
      <c r="AG42" s="56">
        <v>24.7</v>
      </c>
      <c r="AH42" s="56">
        <v>27.5</v>
      </c>
      <c r="AI42" s="56">
        <v>28.55</v>
      </c>
      <c r="AJ42" s="56"/>
      <c r="AK42" s="56"/>
      <c r="AL42" s="56"/>
      <c r="AM42" s="56"/>
      <c r="AN42" s="56"/>
      <c r="AO42" s="56"/>
      <c r="AP42" s="58">
        <f t="shared" si="0"/>
        <v>25</v>
      </c>
      <c r="AQ42" s="71">
        <f t="shared" si="1"/>
        <v>28.021000000000001</v>
      </c>
      <c r="AR42" s="71">
        <f>IFERROR(VLOOKUP(A42,Climatologia_TMED!A:U,9+$E$2,FALSE),"")</f>
        <v>27.752685517058271</v>
      </c>
      <c r="AS42" s="71">
        <f t="shared" si="2"/>
        <v>0.26831448294172944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30.75</v>
      </c>
      <c r="L43" s="56"/>
      <c r="M43" s="56"/>
      <c r="N43" s="56">
        <v>28.55</v>
      </c>
      <c r="O43" s="56">
        <v>29.85</v>
      </c>
      <c r="P43" s="56">
        <v>29.95</v>
      </c>
      <c r="Q43" s="56">
        <v>30.55</v>
      </c>
      <c r="R43" s="56">
        <v>29.4</v>
      </c>
      <c r="S43" s="56">
        <v>29.15</v>
      </c>
      <c r="T43" s="56">
        <v>28.75</v>
      </c>
      <c r="U43" s="56">
        <v>29.85</v>
      </c>
      <c r="V43" s="56">
        <v>28.9</v>
      </c>
      <c r="W43" s="56">
        <v>27.8</v>
      </c>
      <c r="X43" s="56">
        <v>29.85</v>
      </c>
      <c r="Y43" s="56">
        <v>30.55</v>
      </c>
      <c r="Z43" s="56">
        <v>30.75</v>
      </c>
      <c r="AA43" s="56">
        <v>30.65</v>
      </c>
      <c r="AB43" s="56">
        <v>30.5</v>
      </c>
      <c r="AC43" s="56">
        <v>29.4</v>
      </c>
      <c r="AD43" s="56">
        <v>27.25</v>
      </c>
      <c r="AE43" s="56">
        <v>28.85</v>
      </c>
      <c r="AF43" s="56">
        <v>29.85</v>
      </c>
      <c r="AG43" s="56">
        <v>26.1</v>
      </c>
      <c r="AH43" s="56">
        <v>28.6</v>
      </c>
      <c r="AI43" s="56">
        <v>29.75</v>
      </c>
      <c r="AJ43" s="56"/>
      <c r="AK43" s="56"/>
      <c r="AL43" s="56"/>
      <c r="AM43" s="56"/>
      <c r="AN43" s="56"/>
      <c r="AO43" s="56"/>
      <c r="AP43" s="58">
        <f t="shared" si="0"/>
        <v>23</v>
      </c>
      <c r="AQ43" s="71">
        <f t="shared" si="1"/>
        <v>29.373913043478268</v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28.574999999999999</v>
      </c>
      <c r="L44" s="56">
        <v>26.675000000000001</v>
      </c>
      <c r="M44" s="56">
        <v>26.95</v>
      </c>
      <c r="N44" s="56">
        <v>27.274999999999999</v>
      </c>
      <c r="O44" s="56">
        <v>29.5</v>
      </c>
      <c r="P44" s="56">
        <v>28.3</v>
      </c>
      <c r="Q44" s="56">
        <v>29.9</v>
      </c>
      <c r="R44" s="56">
        <v>28.975000000000001</v>
      </c>
      <c r="S44" s="56">
        <v>25.45</v>
      </c>
      <c r="T44" s="56">
        <v>28.8</v>
      </c>
      <c r="U44" s="56">
        <v>29.45</v>
      </c>
      <c r="V44" s="56">
        <v>26.65</v>
      </c>
      <c r="W44" s="56">
        <v>27.7</v>
      </c>
      <c r="X44" s="56">
        <v>29.45</v>
      </c>
      <c r="Y44" s="56">
        <v>31.35</v>
      </c>
      <c r="Z44" s="56">
        <v>31.2</v>
      </c>
      <c r="AA44" s="56">
        <v>29.925000000000001</v>
      </c>
      <c r="AB44" s="56">
        <v>30.05</v>
      </c>
      <c r="AC44" s="56">
        <v>28.75</v>
      </c>
      <c r="AD44" s="56">
        <v>27.425000000000001</v>
      </c>
      <c r="AE44" s="56">
        <v>28.45</v>
      </c>
      <c r="AF44" s="56">
        <v>28.425000000000001</v>
      </c>
      <c r="AG44" s="56">
        <v>25.55</v>
      </c>
      <c r="AH44" s="56">
        <v>28.9</v>
      </c>
      <c r="AI44" s="56">
        <v>28.95</v>
      </c>
      <c r="AJ44" s="56"/>
      <c r="AK44" s="56"/>
      <c r="AL44" s="56"/>
      <c r="AM44" s="56"/>
      <c r="AN44" s="56"/>
      <c r="AO44" s="56"/>
      <c r="AP44" s="58">
        <f t="shared" si="0"/>
        <v>25</v>
      </c>
      <c r="AQ44" s="71">
        <f t="shared" si="1"/>
        <v>28.504999999999995</v>
      </c>
      <c r="AR44" s="71">
        <f>IFERROR(VLOOKUP(A44,Climatologia_TMED!A:U,9+$E$2,FALSE),"")</f>
        <v>27.342343444282822</v>
      </c>
      <c r="AS44" s="71">
        <f t="shared" si="2"/>
        <v>1.1626565557171737</v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29.55</v>
      </c>
      <c r="L45" s="56">
        <v>29.5</v>
      </c>
      <c r="M45" s="56">
        <v>30.1</v>
      </c>
      <c r="N45" s="56">
        <v>27.45</v>
      </c>
      <c r="O45" s="56">
        <v>29.6</v>
      </c>
      <c r="P45" s="56">
        <v>30.65</v>
      </c>
      <c r="Q45" s="56">
        <v>30.5</v>
      </c>
      <c r="R45" s="56">
        <v>30.8</v>
      </c>
      <c r="S45" s="56">
        <v>28.75</v>
      </c>
      <c r="T45" s="56">
        <v>29.9</v>
      </c>
      <c r="U45" s="56">
        <v>30.2</v>
      </c>
      <c r="V45" s="56">
        <v>29</v>
      </c>
      <c r="W45" s="56">
        <v>28.35</v>
      </c>
      <c r="X45" s="56">
        <v>29.6</v>
      </c>
      <c r="Y45" s="56">
        <v>30.1</v>
      </c>
      <c r="Z45" s="56">
        <v>31</v>
      </c>
      <c r="AA45" s="56">
        <v>31.35</v>
      </c>
      <c r="AB45" s="56">
        <v>30</v>
      </c>
      <c r="AC45" s="56">
        <v>27.75</v>
      </c>
      <c r="AD45" s="56">
        <v>27</v>
      </c>
      <c r="AE45" s="56">
        <v>27.95</v>
      </c>
      <c r="AF45" s="56">
        <v>29.65</v>
      </c>
      <c r="AG45" s="56">
        <v>25.65</v>
      </c>
      <c r="AH45" s="56">
        <v>28.45</v>
      </c>
      <c r="AI45" s="56">
        <v>29.65</v>
      </c>
      <c r="AJ45" s="56"/>
      <c r="AK45" s="56"/>
      <c r="AL45" s="56"/>
      <c r="AM45" s="56"/>
      <c r="AN45" s="56"/>
      <c r="AO45" s="56"/>
      <c r="AP45" s="58">
        <f t="shared" si="0"/>
        <v>25</v>
      </c>
      <c r="AQ45" s="71">
        <f t="shared" si="1"/>
        <v>29.300000000000004</v>
      </c>
      <c r="AR45" s="71">
        <f>IFERROR(VLOOKUP(A45,Climatologia_TMED!A:U,9+$E$2,FALSE),"")</f>
        <v>27.76810747493143</v>
      </c>
      <c r="AS45" s="71">
        <f t="shared" si="2"/>
        <v>1.5318925250685744</v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30.375</v>
      </c>
      <c r="L46" s="56">
        <v>29</v>
      </c>
      <c r="M46" s="56">
        <v>28.8</v>
      </c>
      <c r="N46" s="56">
        <v>27.7</v>
      </c>
      <c r="O46" s="56">
        <v>29.25</v>
      </c>
      <c r="P46" s="56">
        <v>29.65</v>
      </c>
      <c r="Q46" s="56">
        <v>29.8</v>
      </c>
      <c r="R46" s="56">
        <v>30.1</v>
      </c>
      <c r="S46" s="56">
        <v>28.2</v>
      </c>
      <c r="T46" s="56">
        <v>28.6</v>
      </c>
      <c r="U46" s="56">
        <v>28.8</v>
      </c>
      <c r="V46" s="56">
        <v>28.55</v>
      </c>
      <c r="W46" s="56">
        <v>28.15</v>
      </c>
      <c r="X46" s="56">
        <v>28.75</v>
      </c>
      <c r="Y46" s="56">
        <v>29.55</v>
      </c>
      <c r="Z46" s="56">
        <v>30.05</v>
      </c>
      <c r="AA46" s="56">
        <v>30.35</v>
      </c>
      <c r="AB46" s="56">
        <v>29.65</v>
      </c>
      <c r="AC46" s="56">
        <v>28.5</v>
      </c>
      <c r="AD46" s="56">
        <v>27</v>
      </c>
      <c r="AE46" s="56">
        <v>28.9</v>
      </c>
      <c r="AF46" s="56">
        <v>28.55</v>
      </c>
      <c r="AG46" s="56">
        <v>27.1</v>
      </c>
      <c r="AH46" s="56">
        <v>29.3</v>
      </c>
      <c r="AI46" s="56">
        <v>29.4</v>
      </c>
      <c r="AJ46" s="56"/>
      <c r="AK46" s="56"/>
      <c r="AL46" s="56"/>
      <c r="AM46" s="56"/>
      <c r="AN46" s="56"/>
      <c r="AO46" s="56"/>
      <c r="AP46" s="58">
        <f t="shared" si="0"/>
        <v>25</v>
      </c>
      <c r="AQ46" s="71">
        <f t="shared" si="1"/>
        <v>28.962999999999997</v>
      </c>
      <c r="AR46" s="71">
        <f>IFERROR(VLOOKUP(A46,Climatologia_TMED!A:U,9+$E$2,FALSE),"")</f>
        <v>27.906197631897481</v>
      </c>
      <c r="AS46" s="71">
        <f t="shared" si="2"/>
        <v>1.0568023681025167</v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31.166666666666671</v>
      </c>
      <c r="L47" s="56">
        <v>29.533333333333331</v>
      </c>
      <c r="M47" s="56">
        <v>30.36666666666666</v>
      </c>
      <c r="N47" s="56">
        <v>28.3</v>
      </c>
      <c r="O47" s="56">
        <v>31</v>
      </c>
      <c r="P47" s="56">
        <v>30.86666666666666</v>
      </c>
      <c r="Q47" s="56">
        <v>31.13333333333334</v>
      </c>
      <c r="R47" s="56">
        <v>31.13333333333334</v>
      </c>
      <c r="S47" s="56">
        <v>26.8</v>
      </c>
      <c r="T47" s="56">
        <v>29.86666666666666</v>
      </c>
      <c r="U47" s="56">
        <v>30.333333333333329</v>
      </c>
      <c r="V47" s="56">
        <v>30.06666666666667</v>
      </c>
      <c r="W47" s="56">
        <v>29.2</v>
      </c>
      <c r="X47" s="56">
        <v>31.733333333333331</v>
      </c>
      <c r="Y47" s="56">
        <v>31.666666666666671</v>
      </c>
      <c r="Z47" s="56">
        <v>31.93333333333333</v>
      </c>
      <c r="AA47" s="56">
        <v>31.8</v>
      </c>
      <c r="AB47" s="56">
        <v>31.6</v>
      </c>
      <c r="AC47" s="56">
        <v>26.466666666666669</v>
      </c>
      <c r="AD47" s="56">
        <v>27.733333333333331</v>
      </c>
      <c r="AE47" s="56">
        <v>30.333333333333329</v>
      </c>
      <c r="AF47" s="56">
        <v>30.466666666666669</v>
      </c>
      <c r="AG47" s="56">
        <v>25.933333333333341</v>
      </c>
      <c r="AH47" s="56">
        <v>29.333333333333329</v>
      </c>
      <c r="AI47" s="56">
        <v>31.4</v>
      </c>
      <c r="AJ47" s="56"/>
      <c r="AK47" s="56"/>
      <c r="AL47" s="56"/>
      <c r="AM47" s="56"/>
      <c r="AN47" s="56"/>
      <c r="AO47" s="56"/>
      <c r="AP47" s="58">
        <f t="shared" si="0"/>
        <v>25</v>
      </c>
      <c r="AQ47" s="71">
        <f t="shared" si="1"/>
        <v>30.006666666666675</v>
      </c>
      <c r="AR47" s="71">
        <f>IFERROR(VLOOKUP(A47,Climatologia_TMED!A:U,9+$E$2,FALSE),"")</f>
        <v>27.968875859317389</v>
      </c>
      <c r="AS47" s="71">
        <f t="shared" si="2"/>
        <v>2.0377908073492854</v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28.301925475227641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27.33463974658191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28.95</v>
      </c>
      <c r="L50" s="56">
        <v>28.5</v>
      </c>
      <c r="M50" s="56">
        <v>30.95</v>
      </c>
      <c r="N50" s="56">
        <v>28.9</v>
      </c>
      <c r="O50" s="56">
        <v>31.05</v>
      </c>
      <c r="P50" s="56">
        <v>31.2</v>
      </c>
      <c r="Q50" s="56">
        <v>31.05</v>
      </c>
      <c r="R50" s="56">
        <v>30.55</v>
      </c>
      <c r="S50" s="56">
        <v>26.4</v>
      </c>
      <c r="T50" s="56">
        <v>29.15</v>
      </c>
      <c r="U50" s="56">
        <v>30.9</v>
      </c>
      <c r="V50" s="56">
        <v>28.3</v>
      </c>
      <c r="W50" s="56">
        <v>28.4</v>
      </c>
      <c r="X50" s="56">
        <v>29.35</v>
      </c>
      <c r="Y50" s="56">
        <v>31.25</v>
      </c>
      <c r="Z50" s="56">
        <v>30.2</v>
      </c>
      <c r="AA50" s="56">
        <v>31.3</v>
      </c>
      <c r="AB50" s="56">
        <v>29.6</v>
      </c>
      <c r="AC50" s="56">
        <v>28.8</v>
      </c>
      <c r="AD50" s="56">
        <v>26.85</v>
      </c>
      <c r="AE50" s="56">
        <v>28.25</v>
      </c>
      <c r="AF50" s="56">
        <v>28.85</v>
      </c>
      <c r="AG50" s="56">
        <v>25.65</v>
      </c>
      <c r="AH50" s="56">
        <v>28.35</v>
      </c>
      <c r="AI50" s="56">
        <v>29.05</v>
      </c>
      <c r="AJ50" s="56"/>
      <c r="AK50" s="56"/>
      <c r="AL50" s="56"/>
      <c r="AM50" s="56"/>
      <c r="AN50" s="56"/>
      <c r="AO50" s="56"/>
      <c r="AP50" s="58">
        <f t="shared" si="0"/>
        <v>25</v>
      </c>
      <c r="AQ50" s="71">
        <f t="shared" si="1"/>
        <v>29.271999999999998</v>
      </c>
      <c r="AR50" s="71">
        <f>IFERROR(VLOOKUP(A50,Climatologia_TMED!A:U,9+$E$2,FALSE),"")</f>
        <v>27.288690346031821</v>
      </c>
      <c r="AS50" s="71">
        <f t="shared" si="2"/>
        <v>1.9833096539681776</v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>
        <v>30</v>
      </c>
      <c r="L51" s="56">
        <v>29.1</v>
      </c>
      <c r="M51" s="56">
        <v>28.95</v>
      </c>
      <c r="N51" s="56">
        <v>28.5</v>
      </c>
      <c r="O51" s="56">
        <v>29.8</v>
      </c>
      <c r="P51" s="56">
        <v>29.024999999999999</v>
      </c>
      <c r="Q51" s="56">
        <v>30.7</v>
      </c>
      <c r="R51" s="56">
        <v>31.55</v>
      </c>
      <c r="S51" s="56">
        <v>26.1</v>
      </c>
      <c r="T51" s="56">
        <v>29.4</v>
      </c>
      <c r="U51" s="56">
        <v>29.9</v>
      </c>
      <c r="V51" s="56">
        <v>28.05</v>
      </c>
      <c r="W51" s="56">
        <v>28.65</v>
      </c>
      <c r="X51" s="56">
        <v>30.85</v>
      </c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14</v>
      </c>
      <c r="AQ51" s="71" t="str">
        <f t="shared" si="1"/>
        <v/>
      </c>
      <c r="AR51" s="71">
        <f>IFERROR(VLOOKUP(A51,Climatologia_TMED!A:U,9+$E$2,FALSE),"")</f>
        <v>27.938142978424821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30.55</v>
      </c>
      <c r="L53" s="56">
        <v>29.65</v>
      </c>
      <c r="M53" s="56">
        <v>28.05</v>
      </c>
      <c r="N53" s="56">
        <v>26.55</v>
      </c>
      <c r="O53" s="56">
        <v>29.2</v>
      </c>
      <c r="P53" s="56">
        <v>30.1</v>
      </c>
      <c r="Q53" s="56">
        <v>31.15</v>
      </c>
      <c r="R53" s="56">
        <v>31.8</v>
      </c>
      <c r="S53" s="56">
        <v>26.65</v>
      </c>
      <c r="T53" s="56">
        <v>29.35</v>
      </c>
      <c r="U53" s="56">
        <v>29.6</v>
      </c>
      <c r="V53" s="56">
        <v>27.8</v>
      </c>
      <c r="W53" s="56">
        <v>27.8</v>
      </c>
      <c r="X53" s="56">
        <v>30.15</v>
      </c>
      <c r="Y53" s="56">
        <v>30.65</v>
      </c>
      <c r="Z53" s="56">
        <v>30.9</v>
      </c>
      <c r="AA53" s="56">
        <v>31.15</v>
      </c>
      <c r="AB53" s="56">
        <v>29.7</v>
      </c>
      <c r="AC53" s="56">
        <v>27.85</v>
      </c>
      <c r="AD53" s="56">
        <v>26.7</v>
      </c>
      <c r="AE53" s="56">
        <v>27.75</v>
      </c>
      <c r="AF53" s="56">
        <v>28.15</v>
      </c>
      <c r="AG53" s="56">
        <v>25.5</v>
      </c>
      <c r="AH53" s="56">
        <v>27.65</v>
      </c>
      <c r="AI53" s="56">
        <v>29</v>
      </c>
      <c r="AJ53" s="56"/>
      <c r="AK53" s="56"/>
      <c r="AL53" s="56"/>
      <c r="AM53" s="56"/>
      <c r="AN53" s="56"/>
      <c r="AO53" s="56"/>
      <c r="AP53" s="58">
        <f t="shared" si="0"/>
        <v>25</v>
      </c>
      <c r="AQ53" s="71">
        <f t="shared" si="1"/>
        <v>28.936</v>
      </c>
      <c r="AR53" s="71">
        <f>IFERROR(VLOOKUP(A53,Climatologia_TMED!A:U,9+$E$2,FALSE),"")</f>
        <v>27.359246296590548</v>
      </c>
      <c r="AS53" s="71">
        <f t="shared" si="2"/>
        <v>1.5767537034094516</v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28.7</v>
      </c>
      <c r="M54" s="56">
        <v>30.85</v>
      </c>
      <c r="N54" s="56">
        <v>28.75</v>
      </c>
      <c r="O54" s="56">
        <v>31.2</v>
      </c>
      <c r="P54" s="56">
        <v>31.65</v>
      </c>
      <c r="Q54" s="56">
        <v>31.7</v>
      </c>
      <c r="R54" s="56">
        <v>32.15</v>
      </c>
      <c r="S54" s="56">
        <v>27.35</v>
      </c>
      <c r="T54" s="56">
        <v>30.1</v>
      </c>
      <c r="U54" s="56">
        <v>30.1</v>
      </c>
      <c r="V54" s="56">
        <v>30.2</v>
      </c>
      <c r="W54" s="56">
        <v>29.15</v>
      </c>
      <c r="X54" s="56">
        <v>30.85</v>
      </c>
      <c r="Y54" s="56">
        <v>31.7</v>
      </c>
      <c r="Z54" s="56">
        <v>31.8</v>
      </c>
      <c r="AA54" s="56">
        <v>31.65</v>
      </c>
      <c r="AB54" s="56">
        <v>31.3</v>
      </c>
      <c r="AC54" s="56">
        <v>28.95</v>
      </c>
      <c r="AD54" s="56">
        <v>27.7</v>
      </c>
      <c r="AE54" s="56">
        <v>29.5</v>
      </c>
      <c r="AF54" s="56">
        <v>31.2</v>
      </c>
      <c r="AG54" s="56">
        <v>26.15</v>
      </c>
      <c r="AH54" s="56">
        <v>29.45</v>
      </c>
      <c r="AI54" s="56">
        <v>30.45</v>
      </c>
      <c r="AJ54" s="56"/>
      <c r="AK54" s="56"/>
      <c r="AL54" s="56"/>
      <c r="AM54" s="56"/>
      <c r="AN54" s="56"/>
      <c r="AO54" s="56"/>
      <c r="AP54" s="58">
        <f t="shared" si="0"/>
        <v>25</v>
      </c>
      <c r="AQ54" s="71">
        <f t="shared" si="1"/>
        <v>30.138000000000005</v>
      </c>
      <c r="AR54" s="71">
        <f>IFERROR(VLOOKUP(A54,Climatologia_TMED!A:U,9+$E$2,FALSE),"")</f>
        <v>28.498226025066419</v>
      </c>
      <c r="AS54" s="71">
        <f t="shared" si="2"/>
        <v>1.6397739749335862</v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/>
      <c r="L55" s="56">
        <v>29.8</v>
      </c>
      <c r="M55" s="56"/>
      <c r="N55" s="56"/>
      <c r="O55" s="56"/>
      <c r="P55" s="56"/>
      <c r="Q55" s="56"/>
      <c r="R55" s="56">
        <v>32.650000000000013</v>
      </c>
      <c r="S55" s="56">
        <v>30.35</v>
      </c>
      <c r="T55" s="56">
        <v>31.8</v>
      </c>
      <c r="U55" s="56">
        <v>30.5</v>
      </c>
      <c r="V55" s="56">
        <v>28.9</v>
      </c>
      <c r="W55" s="56">
        <v>29.55</v>
      </c>
      <c r="X55" s="56">
        <v>30.4</v>
      </c>
      <c r="Y55" s="56">
        <v>33.200000000000003</v>
      </c>
      <c r="Z55" s="56">
        <v>33.5</v>
      </c>
      <c r="AA55" s="56">
        <v>31.85</v>
      </c>
      <c r="AB55" s="56">
        <v>29.95</v>
      </c>
      <c r="AC55" s="56">
        <v>30.3</v>
      </c>
      <c r="AD55" s="56"/>
      <c r="AE55" s="56">
        <v>29</v>
      </c>
      <c r="AF55" s="56">
        <v>27.65</v>
      </c>
      <c r="AG55" s="56">
        <v>28</v>
      </c>
      <c r="AH55" s="56">
        <v>29.35</v>
      </c>
      <c r="AI55" s="56">
        <v>28.95</v>
      </c>
      <c r="AJ55" s="56"/>
      <c r="AK55" s="56"/>
      <c r="AL55" s="56"/>
      <c r="AM55" s="56"/>
      <c r="AN55" s="56"/>
      <c r="AO55" s="56"/>
      <c r="AP55" s="58">
        <f t="shared" si="0"/>
        <v>18</v>
      </c>
      <c r="AQ55" s="71">
        <f t="shared" si="1"/>
        <v>30.31666666666667</v>
      </c>
      <c r="AR55" s="71">
        <f>IFERROR(VLOOKUP(A55,Climatologia_TMED!A:U,9+$E$2,FALSE),"")</f>
        <v>28.430959670237041</v>
      </c>
      <c r="AS55" s="71">
        <f t="shared" si="2"/>
        <v>1.8857069964296294</v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30.15</v>
      </c>
      <c r="L56" s="56">
        <v>28.85</v>
      </c>
      <c r="M56" s="56">
        <v>29.3</v>
      </c>
      <c r="N56" s="56">
        <v>29.5</v>
      </c>
      <c r="O56" s="56">
        <v>30.25</v>
      </c>
      <c r="P56" s="56">
        <v>30.7</v>
      </c>
      <c r="Q56" s="56">
        <v>30.25</v>
      </c>
      <c r="R56" s="56">
        <v>30.8</v>
      </c>
      <c r="S56" s="56">
        <v>29.8</v>
      </c>
      <c r="T56" s="56">
        <v>30.4</v>
      </c>
      <c r="U56" s="56">
        <v>29.95</v>
      </c>
      <c r="V56" s="56">
        <v>29.25</v>
      </c>
      <c r="W56" s="56">
        <v>29.7</v>
      </c>
      <c r="X56" s="56">
        <v>30.55</v>
      </c>
      <c r="Y56" s="56">
        <v>30.25</v>
      </c>
      <c r="Z56" s="56">
        <v>29.95</v>
      </c>
      <c r="AA56" s="56">
        <v>29.9</v>
      </c>
      <c r="AB56" s="56">
        <v>30.45</v>
      </c>
      <c r="AC56" s="56">
        <v>29.25</v>
      </c>
      <c r="AD56" s="56">
        <v>29</v>
      </c>
      <c r="AE56" s="56">
        <v>28.2</v>
      </c>
      <c r="AF56" s="56">
        <v>27.05</v>
      </c>
      <c r="AG56" s="56">
        <v>27.9</v>
      </c>
      <c r="AH56" s="56">
        <v>27.8</v>
      </c>
      <c r="AI56" s="56">
        <v>27.45</v>
      </c>
      <c r="AJ56" s="56"/>
      <c r="AK56" s="56"/>
      <c r="AL56" s="56"/>
      <c r="AM56" s="56"/>
      <c r="AN56" s="56"/>
      <c r="AO56" s="56"/>
      <c r="AP56" s="58">
        <f t="shared" si="0"/>
        <v>25</v>
      </c>
      <c r="AQ56" s="71">
        <f t="shared" si="1"/>
        <v>29.465999999999998</v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27.866212358970269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29.15</v>
      </c>
      <c r="L59" s="56">
        <v>29</v>
      </c>
      <c r="M59" s="56">
        <v>29.7</v>
      </c>
      <c r="N59" s="56">
        <v>27.95</v>
      </c>
      <c r="O59" s="56">
        <v>28.95</v>
      </c>
      <c r="P59" s="56">
        <v>29.9</v>
      </c>
      <c r="Q59" s="56">
        <v>28.3</v>
      </c>
      <c r="R59" s="56">
        <v>29.95</v>
      </c>
      <c r="S59" s="56">
        <v>29</v>
      </c>
      <c r="T59" s="56">
        <v>30.4</v>
      </c>
      <c r="U59" s="56">
        <v>29.1</v>
      </c>
      <c r="V59" s="56">
        <v>27.65</v>
      </c>
      <c r="W59" s="56">
        <v>27.7</v>
      </c>
      <c r="X59" s="56">
        <v>29.625</v>
      </c>
      <c r="Y59" s="56">
        <v>30.05</v>
      </c>
      <c r="Z59" s="56">
        <v>32.450000000000003</v>
      </c>
      <c r="AA59" s="56">
        <v>31.55</v>
      </c>
      <c r="AB59" s="56">
        <v>29.65</v>
      </c>
      <c r="AC59" s="99">
        <v>29</v>
      </c>
      <c r="AD59" s="56">
        <v>26.7</v>
      </c>
      <c r="AE59" s="56">
        <v>28.5</v>
      </c>
      <c r="AF59" s="56">
        <v>28.75</v>
      </c>
      <c r="AG59" s="56"/>
      <c r="AH59" s="56">
        <v>26.65</v>
      </c>
      <c r="AI59" s="56">
        <v>28.7</v>
      </c>
      <c r="AJ59" s="56"/>
      <c r="AK59" s="56"/>
      <c r="AL59" s="56"/>
      <c r="AM59" s="56"/>
      <c r="AN59" s="56"/>
      <c r="AO59" s="56"/>
      <c r="AP59" s="58">
        <f t="shared" si="0"/>
        <v>24</v>
      </c>
      <c r="AQ59" s="71">
        <f t="shared" si="1"/>
        <v>29.098958333333332</v>
      </c>
      <c r="AR59" s="71">
        <f>IFERROR(VLOOKUP(A59,Climatologia_TMED!A:U,9+$E$2,FALSE),"")</f>
        <v>28.11421982908216</v>
      </c>
      <c r="AS59" s="71">
        <f t="shared" si="2"/>
        <v>0.98473850425117249</v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/>
      <c r="L60" s="56">
        <v>24.55</v>
      </c>
      <c r="M60" s="56">
        <v>25.3</v>
      </c>
      <c r="N60" s="56">
        <v>25</v>
      </c>
      <c r="O60" s="56">
        <v>25.5</v>
      </c>
      <c r="P60" s="56">
        <v>26</v>
      </c>
      <c r="Q60" s="56">
        <v>25</v>
      </c>
      <c r="R60" s="56"/>
      <c r="S60" s="56">
        <v>24.8</v>
      </c>
      <c r="T60" s="56">
        <v>26.25</v>
      </c>
      <c r="U60" s="56">
        <v>25.5</v>
      </c>
      <c r="V60" s="56">
        <v>24.9</v>
      </c>
      <c r="W60" s="56">
        <v>26.75</v>
      </c>
      <c r="X60" s="56">
        <v>25.55</v>
      </c>
      <c r="Y60" s="56"/>
      <c r="Z60" s="56">
        <v>26.5</v>
      </c>
      <c r="AA60" s="56">
        <v>26.9</v>
      </c>
      <c r="AB60" s="56">
        <v>26.3</v>
      </c>
      <c r="AC60" s="56">
        <v>25.1</v>
      </c>
      <c r="AD60" s="56">
        <v>27.4</v>
      </c>
      <c r="AE60" s="56">
        <v>26.55</v>
      </c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18</v>
      </c>
      <c r="AQ60" s="71">
        <f t="shared" si="1"/>
        <v>25.769444444444446</v>
      </c>
      <c r="AR60" s="71">
        <f>IFERROR(VLOOKUP(A60,Climatologia_TMED!A:U,9+$E$2,FALSE),"")</f>
        <v>24.144564214948328</v>
      </c>
      <c r="AS60" s="71">
        <f t="shared" si="2"/>
        <v>1.6248802294961173</v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26.5</v>
      </c>
      <c r="L61" s="56">
        <v>26.9</v>
      </c>
      <c r="M61" s="56">
        <v>26.5</v>
      </c>
      <c r="N61" s="56">
        <v>25.75</v>
      </c>
      <c r="O61" s="56">
        <v>24.05</v>
      </c>
      <c r="P61" s="56">
        <v>26.45</v>
      </c>
      <c r="Q61" s="56">
        <v>26.75</v>
      </c>
      <c r="R61" s="56">
        <v>25.8</v>
      </c>
      <c r="S61" s="56">
        <v>27.1</v>
      </c>
      <c r="T61" s="56">
        <v>27.05</v>
      </c>
      <c r="U61" s="56">
        <v>26.35</v>
      </c>
      <c r="V61" s="56">
        <v>26.8</v>
      </c>
      <c r="W61" s="56">
        <v>26.65</v>
      </c>
      <c r="X61" s="56">
        <v>27.45</v>
      </c>
      <c r="Y61" s="56">
        <v>27</v>
      </c>
      <c r="Z61" s="56">
        <v>27.3</v>
      </c>
      <c r="AA61" s="56">
        <v>27.85</v>
      </c>
      <c r="AB61" s="56">
        <v>27.05</v>
      </c>
      <c r="AC61" s="56">
        <v>25.45</v>
      </c>
      <c r="AD61" s="56">
        <v>26.3</v>
      </c>
      <c r="AE61" s="56">
        <v>27.95</v>
      </c>
      <c r="AF61" s="56">
        <v>25.6</v>
      </c>
      <c r="AG61" s="56">
        <v>27.25</v>
      </c>
      <c r="AH61" s="56">
        <v>27.25</v>
      </c>
      <c r="AI61" s="56">
        <v>27.6</v>
      </c>
      <c r="AJ61" s="56"/>
      <c r="AK61" s="56"/>
      <c r="AL61" s="56"/>
      <c r="AM61" s="56"/>
      <c r="AN61" s="56"/>
      <c r="AO61" s="56"/>
      <c r="AP61" s="58">
        <f t="shared" si="0"/>
        <v>25</v>
      </c>
      <c r="AQ61" s="71">
        <f t="shared" si="1"/>
        <v>26.668000000000006</v>
      </c>
      <c r="AR61" s="71">
        <f>IFERROR(VLOOKUP(A61,Climatologia_TMED!A:U,9+$E$2,FALSE),"")</f>
        <v>25.706671681725961</v>
      </c>
      <c r="AS61" s="71">
        <f t="shared" si="2"/>
        <v>0.9613283182740453</v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25.06666666666667</v>
      </c>
      <c r="L62" s="56">
        <v>24.333333333333329</v>
      </c>
      <c r="M62" s="56">
        <v>25.666666666666671</v>
      </c>
      <c r="N62" s="56">
        <v>26</v>
      </c>
      <c r="O62" s="56">
        <v>25.733333333333331</v>
      </c>
      <c r="P62" s="56">
        <v>26.733333333333331</v>
      </c>
      <c r="Q62" s="56">
        <v>25.8</v>
      </c>
      <c r="R62" s="56">
        <v>24.8</v>
      </c>
      <c r="S62" s="56">
        <v>24.333333333333329</v>
      </c>
      <c r="T62" s="56">
        <v>26.06666666666667</v>
      </c>
      <c r="U62" s="56">
        <v>25.533333333333331</v>
      </c>
      <c r="V62" s="56">
        <v>25.866666666666671</v>
      </c>
      <c r="W62" s="56">
        <v>26.533333333333331</v>
      </c>
      <c r="X62" s="56">
        <v>25.2</v>
      </c>
      <c r="Y62" s="56">
        <v>26.6</v>
      </c>
      <c r="Z62" s="56">
        <v>26.733333333333331</v>
      </c>
      <c r="AA62" s="56">
        <v>25.933333333333341</v>
      </c>
      <c r="AB62" s="56">
        <v>25.4</v>
      </c>
      <c r="AC62" s="56">
        <v>26.333333333333329</v>
      </c>
      <c r="AD62" s="56">
        <v>27.4</v>
      </c>
      <c r="AE62" s="56">
        <v>26.6</v>
      </c>
      <c r="AF62" s="56">
        <v>26.6</v>
      </c>
      <c r="AG62" s="56">
        <v>25.066666666666659</v>
      </c>
      <c r="AH62" s="56">
        <v>27.733333333333331</v>
      </c>
      <c r="AI62" s="56"/>
      <c r="AJ62" s="56"/>
      <c r="AK62" s="56"/>
      <c r="AL62" s="56"/>
      <c r="AM62" s="56"/>
      <c r="AN62" s="56"/>
      <c r="AO62" s="56"/>
      <c r="AP62" s="58">
        <f t="shared" si="0"/>
        <v>24</v>
      </c>
      <c r="AQ62" s="71">
        <f t="shared" si="1"/>
        <v>25.919444444444448</v>
      </c>
      <c r="AR62" s="71">
        <f>IFERROR(VLOOKUP(A62,Climatologia_TMED!A:U,9+$E$2,FALSE),"")</f>
        <v>24.539003939963891</v>
      </c>
      <c r="AS62" s="71">
        <f t="shared" si="2"/>
        <v>1.380440504480557</v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23.477686129259752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25.279519115890071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/>
      <c r="L65" s="56"/>
      <c r="M65" s="56"/>
      <c r="N65" s="56"/>
      <c r="O65" s="56"/>
      <c r="P65" s="56"/>
      <c r="Q65" s="56"/>
      <c r="R65" s="56">
        <v>25.1</v>
      </c>
      <c r="S65" s="56">
        <v>25</v>
      </c>
      <c r="T65" s="56"/>
      <c r="U65" s="56"/>
      <c r="V65" s="56">
        <v>26.4</v>
      </c>
      <c r="W65" s="56">
        <v>26.1</v>
      </c>
      <c r="X65" s="56">
        <v>26.6</v>
      </c>
      <c r="Y65" s="56">
        <v>25.8</v>
      </c>
      <c r="Z65" s="56">
        <v>28.3</v>
      </c>
      <c r="AA65" s="56">
        <v>26.65</v>
      </c>
      <c r="AB65" s="56">
        <v>25.1</v>
      </c>
      <c r="AC65" s="56">
        <v>24.8</v>
      </c>
      <c r="AD65" s="56">
        <v>27.1</v>
      </c>
      <c r="AE65" s="56">
        <v>25.55</v>
      </c>
      <c r="AF65" s="56">
        <v>24.05</v>
      </c>
      <c r="AG65" s="56">
        <v>23.85</v>
      </c>
      <c r="AH65" s="56">
        <v>26.7</v>
      </c>
      <c r="AI65" s="56">
        <v>25.3</v>
      </c>
      <c r="AJ65" s="56"/>
      <c r="AK65" s="56"/>
      <c r="AL65" s="56"/>
      <c r="AM65" s="56"/>
      <c r="AN65" s="56"/>
      <c r="AO65" s="56"/>
      <c r="AP65" s="58">
        <f t="shared" si="0"/>
        <v>16</v>
      </c>
      <c r="AQ65" s="71">
        <f t="shared" si="1"/>
        <v>25.775000000000006</v>
      </c>
      <c r="AR65" s="71">
        <f>IFERROR(VLOOKUP(A65,Climatologia_TMED!A:U,9+$E$2,FALSE),"")</f>
        <v>25.005205958311159</v>
      </c>
      <c r="AS65" s="71">
        <f t="shared" si="2"/>
        <v>0.76979404168884713</v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27</v>
      </c>
      <c r="L66" s="56">
        <v>23.5</v>
      </c>
      <c r="M66" s="56">
        <v>24.9</v>
      </c>
      <c r="N66" s="56">
        <v>23.45</v>
      </c>
      <c r="O66" s="56">
        <v>23.95</v>
      </c>
      <c r="P66" s="56">
        <v>26.1</v>
      </c>
      <c r="Q66" s="56">
        <v>25.15</v>
      </c>
      <c r="R66" s="56">
        <v>26.45</v>
      </c>
      <c r="S66" s="56">
        <v>25.05</v>
      </c>
      <c r="T66" s="56">
        <v>25.15</v>
      </c>
      <c r="U66" s="56">
        <v>26.4</v>
      </c>
      <c r="V66" s="56">
        <v>26.5</v>
      </c>
      <c r="W66" s="56">
        <v>26.75</v>
      </c>
      <c r="X66" s="56">
        <v>26.5</v>
      </c>
      <c r="Y66" s="56">
        <v>25.85</v>
      </c>
      <c r="Z66" s="56">
        <v>27.5</v>
      </c>
      <c r="AA66" s="56">
        <v>27.3</v>
      </c>
      <c r="AB66" s="56">
        <v>25.65</v>
      </c>
      <c r="AC66" s="56">
        <v>24.7</v>
      </c>
      <c r="AD66" s="56">
        <v>26.05</v>
      </c>
      <c r="AE66" s="56">
        <v>25.4</v>
      </c>
      <c r="AF66" s="56">
        <v>24.4</v>
      </c>
      <c r="AG66" s="56">
        <v>23.65</v>
      </c>
      <c r="AH66" s="56">
        <v>27.55</v>
      </c>
      <c r="AI66" s="56">
        <v>26.3</v>
      </c>
      <c r="AJ66" s="56"/>
      <c r="AK66" s="56"/>
      <c r="AL66" s="56"/>
      <c r="AM66" s="56"/>
      <c r="AN66" s="56"/>
      <c r="AO66" s="56"/>
      <c r="AP66" s="58">
        <f t="shared" si="0"/>
        <v>25</v>
      </c>
      <c r="AQ66" s="71">
        <f t="shared" si="1"/>
        <v>25.647999999999993</v>
      </c>
      <c r="AR66" s="71">
        <f>IFERROR(VLOOKUP(A66,Climatologia_TMED!A:U,9+$E$2,FALSE),"")</f>
        <v>24.909114830278991</v>
      </c>
      <c r="AS66" s="71">
        <f t="shared" si="2"/>
        <v>0.73888516972100149</v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26.95</v>
      </c>
      <c r="L67" s="56">
        <v>22.65</v>
      </c>
      <c r="M67" s="56">
        <v>24.5</v>
      </c>
      <c r="N67" s="56">
        <v>24.4</v>
      </c>
      <c r="O67" s="56">
        <v>24.2</v>
      </c>
      <c r="P67" s="56">
        <v>27.45</v>
      </c>
      <c r="Q67" s="56">
        <v>24.9</v>
      </c>
      <c r="R67" s="56"/>
      <c r="S67" s="56">
        <v>24.15</v>
      </c>
      <c r="T67" s="56">
        <v>25.85</v>
      </c>
      <c r="U67" s="56"/>
      <c r="V67" s="56">
        <v>26.75</v>
      </c>
      <c r="W67" s="56">
        <v>25.95</v>
      </c>
      <c r="X67" s="56">
        <v>25.7</v>
      </c>
      <c r="Y67" s="56">
        <v>25.45</v>
      </c>
      <c r="Z67" s="56">
        <v>25.45</v>
      </c>
      <c r="AA67" s="56">
        <v>26.15</v>
      </c>
      <c r="AB67" s="56">
        <v>24.45</v>
      </c>
      <c r="AC67" s="56">
        <v>25.1</v>
      </c>
      <c r="AD67" s="56">
        <v>25.55</v>
      </c>
      <c r="AE67" s="56">
        <v>26.45</v>
      </c>
      <c r="AF67" s="56">
        <v>25.95</v>
      </c>
      <c r="AG67" s="56">
        <v>24</v>
      </c>
      <c r="AH67" s="56">
        <v>27.85</v>
      </c>
      <c r="AI67" s="56">
        <v>25.9</v>
      </c>
      <c r="AJ67" s="56"/>
      <c r="AK67" s="56"/>
      <c r="AL67" s="56"/>
      <c r="AM67" s="56"/>
      <c r="AN67" s="56"/>
      <c r="AO67" s="56"/>
      <c r="AP67" s="58">
        <f t="shared" si="0"/>
        <v>23</v>
      </c>
      <c r="AQ67" s="71">
        <f t="shared" si="1"/>
        <v>25.467391304347824</v>
      </c>
      <c r="AR67" s="71">
        <f>IFERROR(VLOOKUP(A67,Climatologia_TMED!A:U,9+$E$2,FALSE),"")</f>
        <v>24.65120691183121</v>
      </c>
      <c r="AS67" s="71">
        <f t="shared" si="2"/>
        <v>0.81618439251661457</v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25.5</v>
      </c>
      <c r="L68" s="56">
        <v>23.05</v>
      </c>
      <c r="M68" s="56">
        <v>24.4</v>
      </c>
      <c r="N68" s="56">
        <v>24.75</v>
      </c>
      <c r="O68" s="56">
        <v>23.45</v>
      </c>
      <c r="P68" s="56">
        <v>25.4</v>
      </c>
      <c r="Q68" s="56">
        <v>24.05</v>
      </c>
      <c r="R68" s="56">
        <v>25.45</v>
      </c>
      <c r="S68" s="56">
        <v>24.5</v>
      </c>
      <c r="T68" s="56">
        <v>26.35</v>
      </c>
      <c r="U68" s="56">
        <v>27.3</v>
      </c>
      <c r="V68" s="56">
        <v>24.6</v>
      </c>
      <c r="W68" s="56">
        <v>27.45</v>
      </c>
      <c r="X68" s="56">
        <v>25.95</v>
      </c>
      <c r="Y68" s="56">
        <v>25.75</v>
      </c>
      <c r="Z68" s="56">
        <v>27.55</v>
      </c>
      <c r="AA68" s="56">
        <v>28.25</v>
      </c>
      <c r="AB68" s="56">
        <v>23.7</v>
      </c>
      <c r="AC68" s="56">
        <v>24.9</v>
      </c>
      <c r="AD68" s="56">
        <v>24.2</v>
      </c>
      <c r="AE68" s="56">
        <v>25.35</v>
      </c>
      <c r="AF68" s="56">
        <v>27.15</v>
      </c>
      <c r="AG68" s="56">
        <v>26.35</v>
      </c>
      <c r="AH68" s="56">
        <v>26.05</v>
      </c>
      <c r="AI68" s="56">
        <v>24.75</v>
      </c>
      <c r="AJ68" s="56"/>
      <c r="AK68" s="56"/>
      <c r="AL68" s="56"/>
      <c r="AM68" s="56"/>
      <c r="AN68" s="56"/>
      <c r="AO68" s="56"/>
      <c r="AP68" s="58">
        <f t="shared" si="0"/>
        <v>25</v>
      </c>
      <c r="AQ68" s="71">
        <f t="shared" si="1"/>
        <v>25.447999999999997</v>
      </c>
      <c r="AR68" s="71">
        <f>IFERROR(VLOOKUP(A68,Climatologia_TMED!A:U,9+$E$2,FALSE),"")</f>
        <v>24.52508750274302</v>
      </c>
      <c r="AS68" s="71">
        <f t="shared" si="2"/>
        <v>0.9229124972569771</v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</v>
      </c>
      <c r="L69" s="56">
        <v>22.75</v>
      </c>
      <c r="M69" s="56">
        <v>24.05</v>
      </c>
      <c r="N69" s="56">
        <v>24.4</v>
      </c>
      <c r="O69" s="56">
        <v>24.024999999999999</v>
      </c>
      <c r="P69" s="56">
        <v>25.75</v>
      </c>
      <c r="Q69" s="56">
        <v>23.65</v>
      </c>
      <c r="R69" s="56">
        <v>25.725000000000001</v>
      </c>
      <c r="S69" s="56">
        <v>23.8</v>
      </c>
      <c r="T69" s="56">
        <v>25.45</v>
      </c>
      <c r="U69" s="56">
        <v>26.35</v>
      </c>
      <c r="V69" s="56">
        <v>25.15</v>
      </c>
      <c r="W69" s="56">
        <v>25.65</v>
      </c>
      <c r="X69" s="56">
        <v>24.824999999999999</v>
      </c>
      <c r="Y69" s="56">
        <v>25.225000000000001</v>
      </c>
      <c r="Z69" s="56">
        <v>26.05</v>
      </c>
      <c r="AA69" s="56">
        <v>27.274999999999999</v>
      </c>
      <c r="AB69" s="56">
        <v>24.625</v>
      </c>
      <c r="AC69" s="56">
        <v>24.7</v>
      </c>
      <c r="AD69" s="56">
        <v>25.75</v>
      </c>
      <c r="AE69" s="56">
        <v>25.05</v>
      </c>
      <c r="AF69" s="56">
        <v>23.75</v>
      </c>
      <c r="AG69" s="56">
        <v>22.7</v>
      </c>
      <c r="AH69" s="56">
        <v>26.45</v>
      </c>
      <c r="AI69" s="56">
        <v>25.35</v>
      </c>
      <c r="AJ69" s="56"/>
      <c r="AK69" s="56"/>
      <c r="AL69" s="56"/>
      <c r="AM69" s="56"/>
      <c r="AN69" s="56"/>
      <c r="AO69" s="56"/>
      <c r="AP69" s="58">
        <f t="shared" ref="AP69:AP132" si="3">COUNTIF(K69:AO69,"&gt;0")</f>
        <v>25</v>
      </c>
      <c r="AQ69" s="71">
        <f t="shared" ref="AQ69:AQ132" si="4">IF(AP69&gt;14,AVERAGE(K69:AO69),"")</f>
        <v>24.956000000000003</v>
      </c>
      <c r="AR69" s="71">
        <f>IFERROR(VLOOKUP(A69,Climatologia_TMED!A:U,9+$E$2,FALSE),"")</f>
        <v>24.322397686632009</v>
      </c>
      <c r="AS69" s="71">
        <f t="shared" ref="AS69:AS132" si="5">IF(OR(AQ69="",AR69=""),"",IFERROR(AQ69-AR69,""))</f>
        <v>0.63360231336799444</v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27.033333333333331</v>
      </c>
      <c r="L70" s="56">
        <v>24.06666666666667</v>
      </c>
      <c r="M70" s="56">
        <v>26.06666666666667</v>
      </c>
      <c r="N70" s="56"/>
      <c r="O70" s="56"/>
      <c r="P70" s="56">
        <v>27</v>
      </c>
      <c r="Q70" s="56">
        <v>25.6</v>
      </c>
      <c r="R70" s="56">
        <v>27.13333333333334</v>
      </c>
      <c r="S70" s="56">
        <v>25.8</v>
      </c>
      <c r="T70" s="56">
        <v>26.86666666666666</v>
      </c>
      <c r="U70" s="56">
        <v>27.2</v>
      </c>
      <c r="V70" s="56"/>
      <c r="W70" s="56"/>
      <c r="X70" s="56">
        <v>25.4</v>
      </c>
      <c r="Y70" s="56">
        <v>26.333333333333329</v>
      </c>
      <c r="Z70" s="56">
        <v>27.333333333333329</v>
      </c>
      <c r="AA70" s="56">
        <v>27.93333333333333</v>
      </c>
      <c r="AB70" s="56"/>
      <c r="AC70" s="56"/>
      <c r="AD70" s="56"/>
      <c r="AE70" s="56">
        <v>26.86666666666666</v>
      </c>
      <c r="AF70" s="56">
        <v>26.13333333333334</v>
      </c>
      <c r="AG70" s="56">
        <v>25.966666666666669</v>
      </c>
      <c r="AH70" s="56">
        <v>26.766666666666669</v>
      </c>
      <c r="AI70" s="56">
        <v>27.466666666666669</v>
      </c>
      <c r="AJ70" s="56"/>
      <c r="AK70" s="56"/>
      <c r="AL70" s="56"/>
      <c r="AM70" s="56"/>
      <c r="AN70" s="56"/>
      <c r="AO70" s="56"/>
      <c r="AP70" s="58">
        <f t="shared" si="3"/>
        <v>18</v>
      </c>
      <c r="AQ70" s="71">
        <f t="shared" si="4"/>
        <v>26.49814814814815</v>
      </c>
      <c r="AR70" s="71">
        <f>IFERROR(VLOOKUP(A70,Climatologia_TMED!A:U,9+$E$2,FALSE),"")</f>
        <v>25.569958691043201</v>
      </c>
      <c r="AS70" s="71">
        <f t="shared" si="5"/>
        <v>0.92818945710494916</v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26.666666666666671</v>
      </c>
      <c r="L71" s="56">
        <v>24.233333333333331</v>
      </c>
      <c r="M71" s="56">
        <v>25.633333333333329</v>
      </c>
      <c r="N71" s="56">
        <v>23.966666666666669</v>
      </c>
      <c r="O71" s="56">
        <v>24.666666666666671</v>
      </c>
      <c r="P71" s="56">
        <v>26.8</v>
      </c>
      <c r="Q71" s="56">
        <v>24.3</v>
      </c>
      <c r="R71" s="56">
        <v>26.833333333333329</v>
      </c>
      <c r="S71" s="56">
        <v>24.5</v>
      </c>
      <c r="T71" s="56">
        <v>27.166666666666671</v>
      </c>
      <c r="U71" s="56">
        <v>26.833333333333329</v>
      </c>
      <c r="V71" s="56">
        <v>25.866666666666671</v>
      </c>
      <c r="W71" s="56">
        <v>26.233333333333331</v>
      </c>
      <c r="X71" s="56">
        <v>27.13333333333334</v>
      </c>
      <c r="Y71" s="56">
        <v>26.8</v>
      </c>
      <c r="Z71" s="56">
        <v>26.266666666666669</v>
      </c>
      <c r="AA71" s="56">
        <v>27.766666666666669</v>
      </c>
      <c r="AB71" s="56">
        <v>26.13333333333334</v>
      </c>
      <c r="AC71" s="56">
        <v>25.13333333333334</v>
      </c>
      <c r="AD71" s="56">
        <v>25.86666666666666</v>
      </c>
      <c r="AE71" s="56">
        <v>26.433333333333341</v>
      </c>
      <c r="AF71" s="56">
        <v>26.233333333333331</v>
      </c>
      <c r="AG71" s="56">
        <v>24.3</v>
      </c>
      <c r="AH71" s="56">
        <v>26.766666666666669</v>
      </c>
      <c r="AI71" s="56">
        <v>26.1</v>
      </c>
      <c r="AJ71" s="56"/>
      <c r="AK71" s="56"/>
      <c r="AL71" s="56"/>
      <c r="AM71" s="56"/>
      <c r="AN71" s="56"/>
      <c r="AO71" s="56"/>
      <c r="AP71" s="58">
        <f t="shared" si="3"/>
        <v>25</v>
      </c>
      <c r="AQ71" s="71">
        <f t="shared" si="4"/>
        <v>25.945333333333334</v>
      </c>
      <c r="AR71" s="71">
        <f>IFERROR(VLOOKUP(A71,Climatologia_TMED!A:U,9+$E$2,FALSE),"")</f>
        <v>25.662442913653528</v>
      </c>
      <c r="AS71" s="71">
        <f t="shared" si="5"/>
        <v>0.28289041967980566</v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25.533333333333331</v>
      </c>
      <c r="L72" s="56">
        <v>26.86666666666666</v>
      </c>
      <c r="M72" s="56">
        <v>25.2</v>
      </c>
      <c r="N72" s="56">
        <v>25.13333333333334</v>
      </c>
      <c r="O72" s="56">
        <v>23.866666666666671</v>
      </c>
      <c r="P72" s="56">
        <v>24.166666666666671</v>
      </c>
      <c r="Q72" s="56">
        <v>24.433333333333341</v>
      </c>
      <c r="R72" s="56">
        <v>25.63333333333334</v>
      </c>
      <c r="S72" s="56">
        <v>25.566666666666659</v>
      </c>
      <c r="T72" s="56">
        <v>26.533333333333331</v>
      </c>
      <c r="U72" s="56">
        <v>25.63333333333334</v>
      </c>
      <c r="V72" s="56">
        <v>25.233333333333331</v>
      </c>
      <c r="W72" s="56">
        <v>25.833333333333329</v>
      </c>
      <c r="X72" s="56">
        <v>24.566666666666659</v>
      </c>
      <c r="Y72" s="56">
        <v>26.166666666666671</v>
      </c>
      <c r="Z72" s="56">
        <v>26.36666666666666</v>
      </c>
      <c r="AA72" s="56">
        <v>25.666666666666671</v>
      </c>
      <c r="AB72" s="56"/>
      <c r="AC72" s="56">
        <v>23.6</v>
      </c>
      <c r="AD72" s="56">
        <v>26.1</v>
      </c>
      <c r="AE72" s="56">
        <v>26.233333333333331</v>
      </c>
      <c r="AF72" s="56">
        <v>24.93333333333333</v>
      </c>
      <c r="AG72" s="56">
        <v>25.666666666666671</v>
      </c>
      <c r="AH72" s="56">
        <v>25.966666666666669</v>
      </c>
      <c r="AI72" s="56">
        <v>25.9</v>
      </c>
      <c r="AJ72" s="56"/>
      <c r="AK72" s="56"/>
      <c r="AL72" s="56"/>
      <c r="AM72" s="56"/>
      <c r="AN72" s="56"/>
      <c r="AO72" s="56"/>
      <c r="AP72" s="58">
        <f t="shared" si="3"/>
        <v>24</v>
      </c>
      <c r="AQ72" s="71">
        <f t="shared" si="4"/>
        <v>25.450000000000003</v>
      </c>
      <c r="AR72" s="71">
        <f>IFERROR(VLOOKUP(A72,Climatologia_TMED!A:U,9+$E$2,FALSE),"")</f>
        <v>24.973208742959539</v>
      </c>
      <c r="AS72" s="71">
        <f t="shared" si="5"/>
        <v>0.47679125704046399</v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26.2</v>
      </c>
      <c r="L73" s="56">
        <v>23.4</v>
      </c>
      <c r="M73" s="56">
        <v>25.4</v>
      </c>
      <c r="N73" s="56"/>
      <c r="O73" s="56"/>
      <c r="P73" s="56">
        <v>26.4</v>
      </c>
      <c r="Q73" s="56">
        <v>26.55</v>
      </c>
      <c r="R73" s="56">
        <v>26.55</v>
      </c>
      <c r="S73" s="56">
        <v>24.75</v>
      </c>
      <c r="T73" s="56">
        <v>25.75</v>
      </c>
      <c r="U73" s="56">
        <v>25.75</v>
      </c>
      <c r="V73" s="56"/>
      <c r="W73" s="56"/>
      <c r="X73" s="56">
        <v>25.2</v>
      </c>
      <c r="Y73" s="56">
        <v>26.3</v>
      </c>
      <c r="Z73" s="56">
        <v>26.15</v>
      </c>
      <c r="AA73" s="56">
        <v>26.5</v>
      </c>
      <c r="AB73" s="56"/>
      <c r="AC73" s="56"/>
      <c r="AD73" s="56">
        <v>25.95</v>
      </c>
      <c r="AE73" s="56">
        <v>26.45</v>
      </c>
      <c r="AF73" s="56">
        <v>25.9</v>
      </c>
      <c r="AG73" s="56">
        <v>24.3</v>
      </c>
      <c r="AH73" s="56">
        <v>26.1</v>
      </c>
      <c r="AI73" s="56"/>
      <c r="AJ73" s="56"/>
      <c r="AK73" s="56"/>
      <c r="AL73" s="56"/>
      <c r="AM73" s="56"/>
      <c r="AN73" s="56"/>
      <c r="AO73" s="56"/>
      <c r="AP73" s="58">
        <f t="shared" si="3"/>
        <v>18</v>
      </c>
      <c r="AQ73" s="71">
        <f t="shared" si="4"/>
        <v>25.755555555555553</v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20.350000000000001</v>
      </c>
      <c r="L74" s="56">
        <v>18.7</v>
      </c>
      <c r="M74" s="56">
        <v>19.75</v>
      </c>
      <c r="N74" s="56">
        <v>20.149999999999999</v>
      </c>
      <c r="O74" s="56">
        <v>20.05</v>
      </c>
      <c r="P74" s="56">
        <v>22.05</v>
      </c>
      <c r="Q74" s="56">
        <v>21.45</v>
      </c>
      <c r="R74" s="56">
        <v>18.850000000000001</v>
      </c>
      <c r="S74" s="56">
        <v>19.3</v>
      </c>
      <c r="T74" s="56">
        <v>20.85</v>
      </c>
      <c r="U74" s="56">
        <v>21.45</v>
      </c>
      <c r="V74" s="56">
        <v>19.55</v>
      </c>
      <c r="W74" s="56">
        <v>20.85</v>
      </c>
      <c r="X74" s="56">
        <v>19.600000000000001</v>
      </c>
      <c r="Y74" s="56">
        <v>21.6</v>
      </c>
      <c r="Z74" s="56">
        <v>21.35</v>
      </c>
      <c r="AA74" s="56">
        <v>21.45</v>
      </c>
      <c r="AB74" s="56">
        <v>19.75</v>
      </c>
      <c r="AC74" s="56">
        <v>19.95</v>
      </c>
      <c r="AD74" s="56">
        <v>22.3</v>
      </c>
      <c r="AE74" s="56">
        <v>22.05</v>
      </c>
      <c r="AF74" s="56">
        <v>22.95</v>
      </c>
      <c r="AG74" s="56">
        <v>21.15</v>
      </c>
      <c r="AH74" s="56">
        <v>22.2</v>
      </c>
      <c r="AI74" s="56">
        <v>22.25</v>
      </c>
      <c r="AJ74" s="56"/>
      <c r="AK74" s="56"/>
      <c r="AL74" s="56"/>
      <c r="AM74" s="56"/>
      <c r="AN74" s="56"/>
      <c r="AO74" s="56"/>
      <c r="AP74" s="58">
        <f t="shared" si="3"/>
        <v>25</v>
      </c>
      <c r="AQ74" s="71">
        <f t="shared" si="4"/>
        <v>20.798000000000002</v>
      </c>
      <c r="AR74" s="71">
        <f>IFERROR(VLOOKUP(A74,Climatologia_TMED!A:U,9+$E$2,FALSE),"")</f>
        <v>19.99849874936011</v>
      </c>
      <c r="AS74" s="71">
        <f t="shared" si="5"/>
        <v>0.79950125063989219</v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15.46666666666667</v>
      </c>
      <c r="L75" s="56">
        <v>15.066666666666659</v>
      </c>
      <c r="M75" s="56">
        <v>14.46666666666667</v>
      </c>
      <c r="N75" s="56">
        <v>15.53333333333333</v>
      </c>
      <c r="O75" s="56">
        <v>15.6</v>
      </c>
      <c r="P75" s="56">
        <v>17.600000000000001</v>
      </c>
      <c r="Q75" s="56">
        <v>16.2</v>
      </c>
      <c r="R75" s="56">
        <v>14.33333333333333</v>
      </c>
      <c r="S75" s="56">
        <v>15.66666666666667</v>
      </c>
      <c r="T75" s="56">
        <v>15.06666666666667</v>
      </c>
      <c r="U75" s="56">
        <v>17.06666666666667</v>
      </c>
      <c r="V75" s="56">
        <v>14.733333333333331</v>
      </c>
      <c r="W75" s="56">
        <v>15</v>
      </c>
      <c r="X75" s="56">
        <v>14.06666666666667</v>
      </c>
      <c r="Y75" s="56">
        <v>15.56666666666667</v>
      </c>
      <c r="Z75" s="56">
        <v>15.66666666666667</v>
      </c>
      <c r="AA75" s="56">
        <v>16.600000000000001</v>
      </c>
      <c r="AB75" s="56">
        <v>15.4</v>
      </c>
      <c r="AC75" s="56">
        <v>15.06666666666667</v>
      </c>
      <c r="AD75" s="56">
        <v>17.133333333333329</v>
      </c>
      <c r="AE75" s="56">
        <v>17.266666666666669</v>
      </c>
      <c r="AF75" s="56">
        <v>17.733333333333331</v>
      </c>
      <c r="AG75" s="56">
        <v>18.333333333333329</v>
      </c>
      <c r="AH75" s="56">
        <v>16.13333333333334</v>
      </c>
      <c r="AI75" s="56">
        <v>16.333333333333329</v>
      </c>
      <c r="AJ75" s="56"/>
      <c r="AK75" s="56"/>
      <c r="AL75" s="56"/>
      <c r="AM75" s="56"/>
      <c r="AN75" s="56"/>
      <c r="AO75" s="56"/>
      <c r="AP75" s="58">
        <f t="shared" si="3"/>
        <v>25</v>
      </c>
      <c r="AQ75" s="71">
        <f t="shared" si="4"/>
        <v>15.883999999999993</v>
      </c>
      <c r="AR75" s="71">
        <f>IFERROR(VLOOKUP(A75,Climatologia_TMED!A:U,9+$E$2,FALSE),"")</f>
        <v>15.18104369196679</v>
      </c>
      <c r="AS75" s="71">
        <f t="shared" si="5"/>
        <v>0.70295630803320286</v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20.5</v>
      </c>
      <c r="L76" s="56">
        <v>20.074999999999999</v>
      </c>
      <c r="M76" s="56">
        <v>20.5</v>
      </c>
      <c r="N76" s="56">
        <v>20.05</v>
      </c>
      <c r="O76" s="56">
        <v>20.5</v>
      </c>
      <c r="P76" s="56">
        <v>21.95</v>
      </c>
      <c r="Q76" s="56">
        <v>21.2</v>
      </c>
      <c r="R76" s="56">
        <v>19.45</v>
      </c>
      <c r="S76" s="56">
        <v>20</v>
      </c>
      <c r="T76" s="56">
        <v>20.399999999999999</v>
      </c>
      <c r="U76" s="56">
        <v>22.3</v>
      </c>
      <c r="V76" s="56">
        <v>20.6</v>
      </c>
      <c r="W76" s="56">
        <v>20.85</v>
      </c>
      <c r="X76" s="56">
        <v>19.850000000000001</v>
      </c>
      <c r="Y76" s="56">
        <v>20.65</v>
      </c>
      <c r="Z76" s="56">
        <v>20.45</v>
      </c>
      <c r="AA76" s="56">
        <v>21.55</v>
      </c>
      <c r="AB76" s="56">
        <v>20.2</v>
      </c>
      <c r="AC76" s="56">
        <v>20.45</v>
      </c>
      <c r="AD76" s="56">
        <v>21.75</v>
      </c>
      <c r="AE76" s="56">
        <v>22.85</v>
      </c>
      <c r="AF76" s="56">
        <v>21.2</v>
      </c>
      <c r="AG76" s="56">
        <v>19.45</v>
      </c>
      <c r="AH76" s="56">
        <v>21.1</v>
      </c>
      <c r="AI76" s="56">
        <v>20.6</v>
      </c>
      <c r="AJ76" s="56"/>
      <c r="AK76" s="56"/>
      <c r="AL76" s="56"/>
      <c r="AM76" s="56"/>
      <c r="AN76" s="56"/>
      <c r="AO76" s="56"/>
      <c r="AP76" s="58">
        <f t="shared" si="3"/>
        <v>25</v>
      </c>
      <c r="AQ76" s="71">
        <f t="shared" si="4"/>
        <v>20.739000000000001</v>
      </c>
      <c r="AR76" s="71">
        <f>IFERROR(VLOOKUP(A76,Climatologia_TMED!A:U,9+$E$2,FALSE),"")</f>
        <v>19.799966611526219</v>
      </c>
      <c r="AS76" s="71">
        <f t="shared" si="5"/>
        <v>0.93903338847378137</v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23.666666666666671</v>
      </c>
      <c r="L77" s="56">
        <v>23.466666666666669</v>
      </c>
      <c r="M77" s="56">
        <v>22.13333333333334</v>
      </c>
      <c r="N77" s="56">
        <v>23.266666666666669</v>
      </c>
      <c r="O77" s="56">
        <v>24.266666666666669</v>
      </c>
      <c r="P77" s="56">
        <v>25.266666666666669</v>
      </c>
      <c r="Q77" s="56">
        <v>25.733333333333331</v>
      </c>
      <c r="R77" s="56">
        <v>23.86666666666666</v>
      </c>
      <c r="S77" s="56">
        <v>23.266666666666669</v>
      </c>
      <c r="T77" s="56">
        <v>23.86666666666666</v>
      </c>
      <c r="U77" s="56">
        <v>25.2</v>
      </c>
      <c r="V77" s="56">
        <v>21.266666666666669</v>
      </c>
      <c r="W77" s="56">
        <v>24.533333333333331</v>
      </c>
      <c r="X77" s="56">
        <v>23.2</v>
      </c>
      <c r="Y77" s="56">
        <v>24.4</v>
      </c>
      <c r="Z77" s="56">
        <v>25.13333333333334</v>
      </c>
      <c r="AA77" s="56">
        <v>24.86666666666666</v>
      </c>
      <c r="AB77" s="56">
        <v>21.4</v>
      </c>
      <c r="AC77" s="56">
        <v>23.06666666666667</v>
      </c>
      <c r="AD77" s="56">
        <v>24.13333333333334</v>
      </c>
      <c r="AE77" s="56">
        <v>25.333333333333329</v>
      </c>
      <c r="AF77" s="56">
        <v>25</v>
      </c>
      <c r="AG77" s="56">
        <v>23.13333333333334</v>
      </c>
      <c r="AH77" s="56">
        <v>24.8</v>
      </c>
      <c r="AI77" s="56">
        <v>23.533333333333331</v>
      </c>
      <c r="AJ77" s="56"/>
      <c r="AK77" s="56"/>
      <c r="AL77" s="56"/>
      <c r="AM77" s="56"/>
      <c r="AN77" s="56"/>
      <c r="AO77" s="56"/>
      <c r="AP77" s="58">
        <f t="shared" si="3"/>
        <v>25</v>
      </c>
      <c r="AQ77" s="71">
        <f t="shared" si="4"/>
        <v>23.911999999999992</v>
      </c>
      <c r="AR77" s="71">
        <f>IFERROR(VLOOKUP(A77,Climatologia_TMED!A:U,9+$E$2,FALSE),"")</f>
        <v>22.683240855978919</v>
      </c>
      <c r="AS77" s="71">
        <f t="shared" si="5"/>
        <v>1.2287591440210726</v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30.5</v>
      </c>
      <c r="L78" s="56">
        <v>30.1</v>
      </c>
      <c r="M78" s="56">
        <v>28.5</v>
      </c>
      <c r="N78" s="56">
        <v>29.85</v>
      </c>
      <c r="O78" s="56">
        <v>31.6</v>
      </c>
      <c r="P78" s="56">
        <v>32.65</v>
      </c>
      <c r="Q78" s="56">
        <v>32.75</v>
      </c>
      <c r="R78" s="56">
        <v>32.200000000000003</v>
      </c>
      <c r="S78" s="56">
        <v>30.4</v>
      </c>
      <c r="T78" s="56">
        <v>30</v>
      </c>
      <c r="U78" s="56">
        <v>32.4</v>
      </c>
      <c r="V78" s="56">
        <v>29.2</v>
      </c>
      <c r="W78" s="56">
        <v>32.1</v>
      </c>
      <c r="X78" s="56">
        <v>30.7</v>
      </c>
      <c r="Y78" s="56">
        <v>32.799999999999997</v>
      </c>
      <c r="Z78" s="56">
        <v>32.200000000000003</v>
      </c>
      <c r="AA78" s="56">
        <v>32.799999999999997</v>
      </c>
      <c r="AB78" s="56">
        <v>28.85</v>
      </c>
      <c r="AC78" s="56">
        <v>30.05</v>
      </c>
      <c r="AD78" s="56">
        <v>31.3</v>
      </c>
      <c r="AE78" s="56">
        <v>31.7</v>
      </c>
      <c r="AF78" s="56">
        <v>32.349999999999987</v>
      </c>
      <c r="AG78" s="56">
        <v>29.95</v>
      </c>
      <c r="AH78" s="56">
        <v>32.25</v>
      </c>
      <c r="AI78" s="56">
        <v>31.1</v>
      </c>
      <c r="AJ78" s="56"/>
      <c r="AK78" s="56"/>
      <c r="AL78" s="56"/>
      <c r="AM78" s="56"/>
      <c r="AN78" s="56"/>
      <c r="AO78" s="56"/>
      <c r="AP78" s="58">
        <f t="shared" si="3"/>
        <v>25</v>
      </c>
      <c r="AQ78" s="71">
        <f t="shared" si="4"/>
        <v>31.131999999999998</v>
      </c>
      <c r="AR78" s="71">
        <f>IFERROR(VLOOKUP(A78,Climatologia_TMED!A:U,9+$E$2,FALSE),"")</f>
        <v>29.183929810522649</v>
      </c>
      <c r="AS78" s="71">
        <f t="shared" si="5"/>
        <v>1.9480701894773489</v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31.4</v>
      </c>
      <c r="L79" s="56">
        <v>31.466666666666669</v>
      </c>
      <c r="M79" s="56">
        <v>31.13333333333334</v>
      </c>
      <c r="N79" s="56">
        <v>30.466666666666669</v>
      </c>
      <c r="O79" s="56">
        <v>30.466666666666669</v>
      </c>
      <c r="P79" s="56">
        <v>32.866666666666667</v>
      </c>
      <c r="Q79" s="56">
        <v>32.066666666666663</v>
      </c>
      <c r="R79" s="56">
        <v>32.6</v>
      </c>
      <c r="S79" s="56">
        <v>31.86666666666666</v>
      </c>
      <c r="T79" s="56">
        <v>31.4</v>
      </c>
      <c r="U79" s="56"/>
      <c r="V79" s="56"/>
      <c r="W79" s="56">
        <v>30.733333333333331</v>
      </c>
      <c r="X79" s="56">
        <v>29.93333333333333</v>
      </c>
      <c r="Y79" s="56">
        <v>29.06666666666667</v>
      </c>
      <c r="Z79" s="56">
        <v>31.13333333333334</v>
      </c>
      <c r="AA79" s="56">
        <v>32</v>
      </c>
      <c r="AB79" s="56">
        <v>27.466666666666669</v>
      </c>
      <c r="AC79" s="56">
        <v>30.6</v>
      </c>
      <c r="AD79" s="56">
        <v>31.333333333333329</v>
      </c>
      <c r="AE79" s="56">
        <v>31.733333333333331</v>
      </c>
      <c r="AF79" s="56">
        <v>32.066666666666663</v>
      </c>
      <c r="AG79" s="56">
        <v>32.066666666666663</v>
      </c>
      <c r="AH79" s="56">
        <v>32.133333333333333</v>
      </c>
      <c r="AI79" s="56">
        <v>31.4</v>
      </c>
      <c r="AJ79" s="56"/>
      <c r="AK79" s="56"/>
      <c r="AL79" s="56"/>
      <c r="AM79" s="56"/>
      <c r="AN79" s="56"/>
      <c r="AO79" s="56"/>
      <c r="AP79" s="58">
        <f t="shared" si="3"/>
        <v>23</v>
      </c>
      <c r="AQ79" s="71">
        <f t="shared" si="4"/>
        <v>31.19130434782608</v>
      </c>
      <c r="AR79" s="71">
        <f>IFERROR(VLOOKUP(A79,Climatologia_TMED!A:U,9+$E$2,FALSE),"")</f>
        <v>29.469052884450729</v>
      </c>
      <c r="AS79" s="71">
        <f t="shared" si="5"/>
        <v>1.7222514633753505</v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20.666666666666671</v>
      </c>
      <c r="L80" s="56">
        <v>18.86666666666666</v>
      </c>
      <c r="M80" s="56">
        <v>19.8</v>
      </c>
      <c r="N80" s="56">
        <v>20.333333333333329</v>
      </c>
      <c r="O80" s="56">
        <v>20.533333333333331</v>
      </c>
      <c r="P80" s="56">
        <v>20.333333333333329</v>
      </c>
      <c r="Q80" s="56">
        <v>20.466666666666669</v>
      </c>
      <c r="R80" s="56">
        <v>21.6</v>
      </c>
      <c r="S80" s="56">
        <v>20.6</v>
      </c>
      <c r="T80" s="56">
        <v>21.13333333333334</v>
      </c>
      <c r="U80" s="56">
        <v>21.6</v>
      </c>
      <c r="V80" s="56">
        <v>19.733333333333331</v>
      </c>
      <c r="W80" s="56">
        <v>20.466666666666669</v>
      </c>
      <c r="X80" s="56">
        <v>20.2</v>
      </c>
      <c r="Y80" s="56">
        <v>22.933333333333341</v>
      </c>
      <c r="Z80" s="56">
        <v>21.2</v>
      </c>
      <c r="AA80" s="56">
        <v>21.8</v>
      </c>
      <c r="AB80" s="56">
        <v>19.399999999999999</v>
      </c>
      <c r="AC80" s="56">
        <v>19.06666666666667</v>
      </c>
      <c r="AD80" s="56">
        <v>22.2</v>
      </c>
      <c r="AE80" s="56">
        <v>21.933333333333341</v>
      </c>
      <c r="AF80" s="56">
        <v>22.06666666666667</v>
      </c>
      <c r="AG80" s="56">
        <v>20.733333333333331</v>
      </c>
      <c r="AH80" s="56">
        <v>22</v>
      </c>
      <c r="AI80" s="56">
        <v>20</v>
      </c>
      <c r="AJ80" s="56"/>
      <c r="AK80" s="56"/>
      <c r="AL80" s="56"/>
      <c r="AM80" s="56"/>
      <c r="AN80" s="56"/>
      <c r="AO80" s="56"/>
      <c r="AP80" s="58">
        <f t="shared" si="3"/>
        <v>25</v>
      </c>
      <c r="AQ80" s="71">
        <f t="shared" si="4"/>
        <v>20.786666666666665</v>
      </c>
      <c r="AR80" s="71">
        <f>IFERROR(VLOOKUP(A80,Climatologia_TMED!A:U,9+$E$2,FALSE),"")</f>
        <v>19.306579428930519</v>
      </c>
      <c r="AS80" s="71">
        <f t="shared" si="5"/>
        <v>1.4800872377361465</v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24</v>
      </c>
      <c r="L81" s="56">
        <v>23.55</v>
      </c>
      <c r="M81" s="56">
        <v>22.85</v>
      </c>
      <c r="N81" s="56">
        <v>23.2</v>
      </c>
      <c r="O81" s="56">
        <v>24.55</v>
      </c>
      <c r="P81" s="56"/>
      <c r="Q81" s="56">
        <v>23.5</v>
      </c>
      <c r="R81" s="56">
        <v>22.75</v>
      </c>
      <c r="S81" s="56">
        <v>23.65</v>
      </c>
      <c r="T81" s="56">
        <v>25.4</v>
      </c>
      <c r="U81" s="56">
        <v>25.25</v>
      </c>
      <c r="V81" s="56">
        <v>24.85</v>
      </c>
      <c r="W81" s="56">
        <v>22.8</v>
      </c>
      <c r="X81" s="56">
        <v>22.9</v>
      </c>
      <c r="Y81" s="56">
        <v>24.5</v>
      </c>
      <c r="Z81" s="56">
        <v>23.45</v>
      </c>
      <c r="AA81" s="56">
        <v>25.4</v>
      </c>
      <c r="AB81" s="56">
        <v>23</v>
      </c>
      <c r="AC81" s="56">
        <v>24.15</v>
      </c>
      <c r="AD81" s="56">
        <v>23.95</v>
      </c>
      <c r="AE81" s="56">
        <v>25.7</v>
      </c>
      <c r="AF81" s="56"/>
      <c r="AG81" s="56"/>
      <c r="AH81" s="56">
        <v>24.1</v>
      </c>
      <c r="AI81" s="56">
        <v>25.85</v>
      </c>
      <c r="AJ81" s="56"/>
      <c r="AK81" s="56"/>
      <c r="AL81" s="56"/>
      <c r="AM81" s="56"/>
      <c r="AN81" s="56"/>
      <c r="AO81" s="56"/>
      <c r="AP81" s="58">
        <f t="shared" si="3"/>
        <v>22</v>
      </c>
      <c r="AQ81" s="71">
        <f t="shared" si="4"/>
        <v>24.061363636363634</v>
      </c>
      <c r="AR81" s="71">
        <f>IFERROR(VLOOKUP(A81,Climatologia_TMED!A:U,9+$E$2,FALSE),"")</f>
        <v>24.17462990609177</v>
      </c>
      <c r="AS81" s="71">
        <f t="shared" si="5"/>
        <v>-0.11326626972813614</v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25.06666666666667</v>
      </c>
      <c r="L82" s="56">
        <v>24.8</v>
      </c>
      <c r="M82" s="56">
        <v>25.466666666666669</v>
      </c>
      <c r="N82" s="56">
        <v>24.93333333333333</v>
      </c>
      <c r="O82" s="56">
        <v>25.833333333333329</v>
      </c>
      <c r="P82" s="56">
        <v>26.86666666666666</v>
      </c>
      <c r="Q82" s="56">
        <v>24.93333333333333</v>
      </c>
      <c r="R82" s="56">
        <v>23.93333333333333</v>
      </c>
      <c r="S82" s="56">
        <v>24.13333333333334</v>
      </c>
      <c r="T82" s="56">
        <v>27.06666666666667</v>
      </c>
      <c r="U82" s="56">
        <v>25.4</v>
      </c>
      <c r="V82" s="56">
        <v>26.13333333333334</v>
      </c>
      <c r="W82" s="56">
        <v>25.2</v>
      </c>
      <c r="X82" s="56">
        <v>26.333333333333329</v>
      </c>
      <c r="Y82" s="56">
        <v>26.133333333333329</v>
      </c>
      <c r="Z82" s="56">
        <v>25.6</v>
      </c>
      <c r="AA82" s="56">
        <v>27.13333333333334</v>
      </c>
      <c r="AB82" s="56">
        <v>28.066666666666659</v>
      </c>
      <c r="AC82" s="56">
        <v>26.266666666666669</v>
      </c>
      <c r="AD82" s="56">
        <v>27.466666666666669</v>
      </c>
      <c r="AE82" s="56">
        <v>28.333333333333329</v>
      </c>
      <c r="AF82" s="56">
        <v>27.666666666666671</v>
      </c>
      <c r="AG82" s="56">
        <v>26.266666666666669</v>
      </c>
      <c r="AH82" s="56">
        <v>26.933333333333341</v>
      </c>
      <c r="AI82" s="56">
        <v>27.13333333333334</v>
      </c>
      <c r="AJ82" s="56"/>
      <c r="AK82" s="56"/>
      <c r="AL82" s="56"/>
      <c r="AM82" s="56"/>
      <c r="AN82" s="56"/>
      <c r="AO82" s="56"/>
      <c r="AP82" s="58">
        <f t="shared" si="3"/>
        <v>25</v>
      </c>
      <c r="AQ82" s="71">
        <f t="shared" si="4"/>
        <v>26.124000000000002</v>
      </c>
      <c r="AR82" s="71">
        <f>IFERROR(VLOOKUP(A82,Climatologia_TMED!A:U,9+$E$2,FALSE),"")</f>
        <v>25.173722457421579</v>
      </c>
      <c r="AS82" s="71">
        <f t="shared" si="5"/>
        <v>0.9502775425784229</v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30.284489958591781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32.299999999999997</v>
      </c>
      <c r="L85" s="56">
        <v>31.6</v>
      </c>
      <c r="M85" s="56">
        <v>30.4</v>
      </c>
      <c r="N85" s="56">
        <v>29.65</v>
      </c>
      <c r="O85" s="56">
        <v>30.7</v>
      </c>
      <c r="P85" s="56">
        <v>31.8</v>
      </c>
      <c r="Q85" s="56">
        <v>30.85</v>
      </c>
      <c r="R85" s="56"/>
      <c r="S85" s="56"/>
      <c r="T85" s="56">
        <v>30.5</v>
      </c>
      <c r="U85" s="56"/>
      <c r="V85" s="56"/>
      <c r="W85" s="56"/>
      <c r="X85" s="56"/>
      <c r="Y85" s="56"/>
      <c r="Z85" s="56">
        <v>31.8</v>
      </c>
      <c r="AA85" s="56"/>
      <c r="AB85" s="56"/>
      <c r="AC85" s="56">
        <v>30.55</v>
      </c>
      <c r="AD85" s="56">
        <v>31.05</v>
      </c>
      <c r="AE85" s="56">
        <v>30.55</v>
      </c>
      <c r="AF85" s="56">
        <v>30.35</v>
      </c>
      <c r="AG85" s="56">
        <v>30.5</v>
      </c>
      <c r="AH85" s="56">
        <v>30.65</v>
      </c>
      <c r="AI85" s="56">
        <v>30.7</v>
      </c>
      <c r="AJ85" s="56"/>
      <c r="AK85" s="56"/>
      <c r="AL85" s="56"/>
      <c r="AM85" s="56"/>
      <c r="AN85" s="56"/>
      <c r="AO85" s="56"/>
      <c r="AP85" s="58">
        <f t="shared" si="3"/>
        <v>16</v>
      </c>
      <c r="AQ85" s="71">
        <f t="shared" si="4"/>
        <v>30.871874999999999</v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29.95</v>
      </c>
      <c r="L86" s="56">
        <v>29.7</v>
      </c>
      <c r="M86" s="56">
        <v>29.35</v>
      </c>
      <c r="N86" s="56">
        <v>29.6</v>
      </c>
      <c r="O86" s="56">
        <v>29.35</v>
      </c>
      <c r="P86" s="56">
        <v>29.6</v>
      </c>
      <c r="Q86" s="56">
        <v>29.95</v>
      </c>
      <c r="R86" s="56">
        <v>30.4</v>
      </c>
      <c r="S86" s="56">
        <v>29.75</v>
      </c>
      <c r="T86" s="56">
        <v>29.55</v>
      </c>
      <c r="U86" s="56">
        <v>29.75</v>
      </c>
      <c r="V86" s="56">
        <v>30.05</v>
      </c>
      <c r="W86" s="56">
        <v>29.4</v>
      </c>
      <c r="X86" s="56">
        <v>29.9</v>
      </c>
      <c r="Y86" s="56">
        <v>30.15</v>
      </c>
      <c r="Z86" s="56">
        <v>30.05</v>
      </c>
      <c r="AA86" s="56">
        <v>29.9</v>
      </c>
      <c r="AB86" s="56">
        <v>29.35</v>
      </c>
      <c r="AC86" s="56">
        <v>29.95</v>
      </c>
      <c r="AD86" s="56">
        <v>29.7</v>
      </c>
      <c r="AE86" s="56">
        <v>29.3</v>
      </c>
      <c r="AF86" s="56">
        <v>29.9</v>
      </c>
      <c r="AG86" s="56">
        <v>29.75</v>
      </c>
      <c r="AH86" s="56">
        <v>29.8</v>
      </c>
      <c r="AI86" s="56">
        <v>29.6</v>
      </c>
      <c r="AJ86" s="56"/>
      <c r="AK86" s="56"/>
      <c r="AL86" s="56"/>
      <c r="AM86" s="56"/>
      <c r="AN86" s="56"/>
      <c r="AO86" s="56"/>
      <c r="AP86" s="58">
        <f t="shared" si="3"/>
        <v>25</v>
      </c>
      <c r="AQ86" s="71">
        <f t="shared" si="4"/>
        <v>29.749999999999996</v>
      </c>
      <c r="AR86" s="71">
        <f>IFERROR(VLOOKUP(A86,Climatologia_TMED!A:U,9+$E$2,FALSE),"")</f>
        <v>28.612083161554789</v>
      </c>
      <c r="AS86" s="71">
        <f t="shared" si="5"/>
        <v>1.1379168384452072</v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32.950000000000003</v>
      </c>
      <c r="L87" s="56">
        <v>30.45</v>
      </c>
      <c r="M87" s="56">
        <v>31.65</v>
      </c>
      <c r="N87" s="56">
        <v>30.4</v>
      </c>
      <c r="O87" s="56">
        <v>32.049999999999997</v>
      </c>
      <c r="P87" s="56">
        <v>33.4</v>
      </c>
      <c r="Q87" s="56">
        <v>33.849999999999987</v>
      </c>
      <c r="R87" s="56">
        <v>33.849999999999987</v>
      </c>
      <c r="S87" s="56">
        <v>29.55</v>
      </c>
      <c r="T87" s="56">
        <v>32.849999999999987</v>
      </c>
      <c r="U87" s="56">
        <v>32.650000000000013</v>
      </c>
      <c r="V87" s="56">
        <v>31.5</v>
      </c>
      <c r="W87" s="56">
        <v>31.75</v>
      </c>
      <c r="X87" s="56">
        <v>33.25</v>
      </c>
      <c r="Y87" s="56">
        <v>35.25</v>
      </c>
      <c r="Z87" s="56">
        <v>34.549999999999997</v>
      </c>
      <c r="AA87" s="56">
        <v>35.450000000000003</v>
      </c>
      <c r="AB87" s="56">
        <v>29.75</v>
      </c>
      <c r="AC87" s="56">
        <v>31.35</v>
      </c>
      <c r="AD87" s="56">
        <v>28.2</v>
      </c>
      <c r="AE87" s="56">
        <v>30.25</v>
      </c>
      <c r="AF87" s="56">
        <v>31.25</v>
      </c>
      <c r="AG87" s="56">
        <v>27.85</v>
      </c>
      <c r="AH87" s="56">
        <v>30.9</v>
      </c>
      <c r="AI87" s="56">
        <v>30.85</v>
      </c>
      <c r="AJ87" s="56"/>
      <c r="AK87" s="56"/>
      <c r="AL87" s="56"/>
      <c r="AM87" s="56"/>
      <c r="AN87" s="56"/>
      <c r="AO87" s="56"/>
      <c r="AP87" s="58">
        <f t="shared" si="3"/>
        <v>25</v>
      </c>
      <c r="AQ87" s="71">
        <f t="shared" si="4"/>
        <v>31.832000000000004</v>
      </c>
      <c r="AR87" s="71">
        <f>IFERROR(VLOOKUP(A87,Climatologia_TMED!A:U,9+$E$2,FALSE),"")</f>
        <v>29.006189972462391</v>
      </c>
      <c r="AS87" s="71">
        <f t="shared" si="5"/>
        <v>2.8258100275376137</v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31.65</v>
      </c>
      <c r="L88" s="56">
        <v>29.1</v>
      </c>
      <c r="M88" s="56">
        <v>28.9</v>
      </c>
      <c r="N88" s="56">
        <v>27.85</v>
      </c>
      <c r="O88" s="56">
        <v>31</v>
      </c>
      <c r="P88" s="56">
        <v>30.8</v>
      </c>
      <c r="Q88" s="56">
        <v>31.55</v>
      </c>
      <c r="R88" s="56">
        <v>31.25</v>
      </c>
      <c r="S88" s="56">
        <v>30.8</v>
      </c>
      <c r="T88" s="56">
        <v>31.05</v>
      </c>
      <c r="U88" s="56">
        <v>30.6</v>
      </c>
      <c r="V88" s="56">
        <v>29.3</v>
      </c>
      <c r="W88" s="56">
        <v>28.25</v>
      </c>
      <c r="X88" s="56">
        <v>31.3</v>
      </c>
      <c r="Y88" s="56">
        <v>31.55</v>
      </c>
      <c r="Z88" s="56">
        <v>31.6</v>
      </c>
      <c r="AA88" s="56">
        <v>31.7</v>
      </c>
      <c r="AB88" s="56">
        <v>30.65</v>
      </c>
      <c r="AC88" s="56">
        <v>28.9</v>
      </c>
      <c r="AD88" s="56">
        <v>28.95</v>
      </c>
      <c r="AE88" s="56">
        <v>30.4</v>
      </c>
      <c r="AF88" s="56">
        <v>28.9</v>
      </c>
      <c r="AG88" s="56">
        <v>27.6</v>
      </c>
      <c r="AH88" s="56">
        <v>29.35</v>
      </c>
      <c r="AI88" s="56">
        <v>31.75</v>
      </c>
      <c r="AJ88" s="56"/>
      <c r="AK88" s="56"/>
      <c r="AL88" s="56"/>
      <c r="AM88" s="56"/>
      <c r="AN88" s="56"/>
      <c r="AO88" s="56"/>
      <c r="AP88" s="58">
        <f t="shared" si="3"/>
        <v>25</v>
      </c>
      <c r="AQ88" s="71">
        <f t="shared" si="4"/>
        <v>30.190000000000005</v>
      </c>
      <c r="AR88" s="71">
        <f>IFERROR(VLOOKUP(A88,Climatologia_TMED!A:U,9+$E$2,FALSE),"")</f>
        <v>28.69087461597541</v>
      </c>
      <c r="AS88" s="71">
        <f t="shared" si="5"/>
        <v>1.4991253840245946</v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34.849999999999987</v>
      </c>
      <c r="L89" s="56">
        <v>33.5</v>
      </c>
      <c r="M89" s="56"/>
      <c r="N89" s="56">
        <v>31.05</v>
      </c>
      <c r="O89" s="56">
        <v>33.299999999999997</v>
      </c>
      <c r="P89" s="56">
        <v>34.1</v>
      </c>
      <c r="Q89" s="56">
        <v>34.75</v>
      </c>
      <c r="R89" s="56">
        <v>35.9</v>
      </c>
      <c r="S89" s="56">
        <v>31.05</v>
      </c>
      <c r="T89" s="56"/>
      <c r="U89" s="56">
        <v>34.950000000000003</v>
      </c>
      <c r="V89" s="56">
        <v>32.65</v>
      </c>
      <c r="W89" s="56"/>
      <c r="X89" s="56">
        <v>35.75</v>
      </c>
      <c r="Y89" s="56">
        <v>35.85</v>
      </c>
      <c r="Z89" s="56">
        <v>35.4</v>
      </c>
      <c r="AA89" s="56"/>
      <c r="AB89" s="56">
        <v>34.450000000000003</v>
      </c>
      <c r="AC89" s="56"/>
      <c r="AD89" s="56">
        <v>28.15</v>
      </c>
      <c r="AE89" s="56">
        <v>33</v>
      </c>
      <c r="AF89" s="56">
        <v>31.25</v>
      </c>
      <c r="AG89" s="56"/>
      <c r="AH89" s="56">
        <v>31.5</v>
      </c>
      <c r="AI89" s="56">
        <v>34.700000000000003</v>
      </c>
      <c r="AJ89" s="56"/>
      <c r="AK89" s="56"/>
      <c r="AL89" s="56"/>
      <c r="AM89" s="56"/>
      <c r="AN89" s="56"/>
      <c r="AO89" s="56"/>
      <c r="AP89" s="58">
        <f t="shared" si="3"/>
        <v>19</v>
      </c>
      <c r="AQ89" s="71">
        <f t="shared" si="4"/>
        <v>33.481578947368419</v>
      </c>
      <c r="AR89" s="71">
        <f>IFERROR(VLOOKUP(A89,Climatologia_TMED!A:U,9+$E$2,FALSE),"")</f>
        <v>29.482499041646701</v>
      </c>
      <c r="AS89" s="71">
        <f t="shared" si="5"/>
        <v>3.9990799057217181</v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32.75</v>
      </c>
      <c r="L90" s="56">
        <v>32.35</v>
      </c>
      <c r="M90" s="56">
        <v>29.45</v>
      </c>
      <c r="N90" s="56">
        <v>29.45</v>
      </c>
      <c r="O90" s="56">
        <v>33</v>
      </c>
      <c r="P90" s="56">
        <v>30.7</v>
      </c>
      <c r="Q90" s="56">
        <v>33.4</v>
      </c>
      <c r="R90" s="56">
        <v>33.85</v>
      </c>
      <c r="S90" s="56">
        <v>32.049999999999997</v>
      </c>
      <c r="T90" s="56">
        <v>32.450000000000003</v>
      </c>
      <c r="U90" s="56">
        <v>32.1</v>
      </c>
      <c r="V90" s="56">
        <v>31.9</v>
      </c>
      <c r="W90" s="56">
        <v>31.6</v>
      </c>
      <c r="X90" s="56">
        <v>33.75</v>
      </c>
      <c r="Y90" s="56">
        <v>33.700000000000003</v>
      </c>
      <c r="Z90" s="56">
        <v>33</v>
      </c>
      <c r="AA90" s="56">
        <v>33.400000000000013</v>
      </c>
      <c r="AB90" s="56">
        <v>33.15</v>
      </c>
      <c r="AC90" s="56"/>
      <c r="AD90" s="56"/>
      <c r="AE90" s="56"/>
      <c r="AF90" s="56"/>
      <c r="AG90" s="56">
        <v>29.75</v>
      </c>
      <c r="AH90" s="56">
        <v>30.7</v>
      </c>
      <c r="AI90" s="56">
        <v>31.85</v>
      </c>
      <c r="AJ90" s="56"/>
      <c r="AK90" s="56"/>
      <c r="AL90" s="56"/>
      <c r="AM90" s="56"/>
      <c r="AN90" s="56"/>
      <c r="AO90" s="56"/>
      <c r="AP90" s="58">
        <f t="shared" si="3"/>
        <v>21</v>
      </c>
      <c r="AQ90" s="71">
        <f t="shared" si="4"/>
        <v>32.111904761904761</v>
      </c>
      <c r="AR90" s="71">
        <f>IFERROR(VLOOKUP(A90,Climatologia_TMED!A:U,9+$E$2,FALSE),"")</f>
        <v>29.035060057912659</v>
      </c>
      <c r="AS90" s="71">
        <f t="shared" si="5"/>
        <v>3.0768447039921014</v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>
        <v>31</v>
      </c>
      <c r="L91" s="56">
        <v>30.7</v>
      </c>
      <c r="M91" s="56">
        <v>31.1</v>
      </c>
      <c r="N91" s="56">
        <v>30.9</v>
      </c>
      <c r="O91" s="56">
        <v>31.7</v>
      </c>
      <c r="P91" s="56">
        <v>30.3</v>
      </c>
      <c r="Q91" s="56">
        <v>34.799999999999997</v>
      </c>
      <c r="R91" s="56">
        <v>34.35</v>
      </c>
      <c r="S91" s="56">
        <v>31.3</v>
      </c>
      <c r="T91" s="56">
        <v>32.85</v>
      </c>
      <c r="U91" s="56">
        <v>33.200000000000003</v>
      </c>
      <c r="V91" s="56">
        <v>30.8</v>
      </c>
      <c r="W91" s="56">
        <v>31.65</v>
      </c>
      <c r="X91" s="56">
        <v>33.950000000000003</v>
      </c>
      <c r="Y91" s="56">
        <v>34.299999999999997</v>
      </c>
      <c r="Z91" s="56">
        <v>34.450000000000003</v>
      </c>
      <c r="AA91" s="56">
        <v>35.599999999999987</v>
      </c>
      <c r="AB91" s="56"/>
      <c r="AC91" s="56"/>
      <c r="AD91" s="56"/>
      <c r="AE91" s="56">
        <v>28.2</v>
      </c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18</v>
      </c>
      <c r="AQ91" s="71">
        <f t="shared" si="4"/>
        <v>32.286111111111119</v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18.350000000000001</v>
      </c>
      <c r="L92" s="56">
        <v>18.05</v>
      </c>
      <c r="M92" s="56">
        <v>18.100000000000001</v>
      </c>
      <c r="N92" s="56">
        <v>15.65</v>
      </c>
      <c r="O92" s="56">
        <v>16.899999999999999</v>
      </c>
      <c r="P92" s="56">
        <v>19.2</v>
      </c>
      <c r="Q92" s="56">
        <v>19.25</v>
      </c>
      <c r="R92" s="56">
        <v>19.899999999999999</v>
      </c>
      <c r="S92" s="56">
        <v>15.65</v>
      </c>
      <c r="T92" s="56">
        <v>16.95</v>
      </c>
      <c r="U92" s="56">
        <v>18</v>
      </c>
      <c r="V92" s="56">
        <v>16.850000000000001</v>
      </c>
      <c r="W92" s="56">
        <v>17.95</v>
      </c>
      <c r="X92" s="56">
        <v>18.45</v>
      </c>
      <c r="Y92" s="56">
        <v>17.25</v>
      </c>
      <c r="Z92" s="56">
        <v>19.3</v>
      </c>
      <c r="AA92" s="56">
        <v>19.55</v>
      </c>
      <c r="AB92" s="56">
        <v>16.75</v>
      </c>
      <c r="AC92" s="56">
        <v>15.93333333333333</v>
      </c>
      <c r="AD92" s="56">
        <v>15.25</v>
      </c>
      <c r="AE92" s="56">
        <v>16.850000000000001</v>
      </c>
      <c r="AF92" s="56">
        <v>17.600000000000001</v>
      </c>
      <c r="AG92" s="56">
        <v>16.850000000000001</v>
      </c>
      <c r="AH92" s="56">
        <v>17.25</v>
      </c>
      <c r="AI92" s="56">
        <v>17.25</v>
      </c>
      <c r="AJ92" s="56"/>
      <c r="AK92" s="56"/>
      <c r="AL92" s="56"/>
      <c r="AM92" s="56"/>
      <c r="AN92" s="56"/>
      <c r="AO92" s="56"/>
      <c r="AP92" s="58">
        <f t="shared" si="3"/>
        <v>25</v>
      </c>
      <c r="AQ92" s="71">
        <f t="shared" si="4"/>
        <v>17.563333333333336</v>
      </c>
      <c r="AR92" s="71">
        <f>IFERROR(VLOOKUP(A92,Climatologia_TMED!A:U,9+$E$2,FALSE),"")</f>
        <v>16.163344086021471</v>
      </c>
      <c r="AS92" s="71">
        <f t="shared" si="5"/>
        <v>1.3999892473118649</v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24.066666666666659</v>
      </c>
      <c r="L93" s="56">
        <v>23.06666666666667</v>
      </c>
      <c r="M93" s="56">
        <v>23.266666666666669</v>
      </c>
      <c r="N93" s="56">
        <v>22.333333333333329</v>
      </c>
      <c r="O93" s="56">
        <v>22.93333333333333</v>
      </c>
      <c r="P93" s="56">
        <v>24.2</v>
      </c>
      <c r="Q93" s="56">
        <v>24.466666666666669</v>
      </c>
      <c r="R93" s="56">
        <v>25.06666666666667</v>
      </c>
      <c r="S93" s="56">
        <v>22.333333333333329</v>
      </c>
      <c r="T93" s="56">
        <v>24.2</v>
      </c>
      <c r="U93" s="56">
        <v>24.2</v>
      </c>
      <c r="V93" s="56">
        <v>22.733333333333331</v>
      </c>
      <c r="W93" s="56">
        <v>23.333333333333329</v>
      </c>
      <c r="X93" s="56">
        <v>24.2</v>
      </c>
      <c r="Y93" s="56">
        <v>24.8</v>
      </c>
      <c r="Z93" s="56">
        <v>25.466666666666669</v>
      </c>
      <c r="AA93" s="56">
        <v>24.933333333333341</v>
      </c>
      <c r="AB93" s="56">
        <v>23.93333333333333</v>
      </c>
      <c r="AC93" s="56">
        <v>22</v>
      </c>
      <c r="AD93" s="56">
        <v>22</v>
      </c>
      <c r="AE93" s="56">
        <v>23.06666666666667</v>
      </c>
      <c r="AF93" s="56">
        <v>23.266666666666669</v>
      </c>
      <c r="AG93" s="56">
        <v>23.533333333333331</v>
      </c>
      <c r="AH93" s="56">
        <v>23.733333333333331</v>
      </c>
      <c r="AI93" s="56">
        <v>23.4</v>
      </c>
      <c r="AJ93" s="56"/>
      <c r="AK93" s="56"/>
      <c r="AL93" s="56"/>
      <c r="AM93" s="56"/>
      <c r="AN93" s="56"/>
      <c r="AO93" s="56"/>
      <c r="AP93" s="58">
        <f t="shared" si="3"/>
        <v>25</v>
      </c>
      <c r="AQ93" s="71">
        <f t="shared" si="4"/>
        <v>23.621333333333332</v>
      </c>
      <c r="AR93" s="71">
        <f>IFERROR(VLOOKUP(A93,Climatologia_TMED!A:U,9+$E$2,FALSE),"")</f>
        <v>22.109487865869621</v>
      </c>
      <c r="AS93" s="71">
        <f t="shared" si="5"/>
        <v>1.5118454674637114</v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16.899999999999999</v>
      </c>
      <c r="L94" s="56">
        <v>18.149999999999999</v>
      </c>
      <c r="M94" s="56">
        <v>17.350000000000001</v>
      </c>
      <c r="N94" s="56">
        <v>17.850000000000001</v>
      </c>
      <c r="O94" s="56">
        <v>17.8</v>
      </c>
      <c r="P94" s="56">
        <v>18</v>
      </c>
      <c r="Q94" s="56">
        <v>17.2</v>
      </c>
      <c r="R94" s="56">
        <v>18.2</v>
      </c>
      <c r="S94" s="56">
        <v>17.55</v>
      </c>
      <c r="T94" s="56">
        <v>17.100000000000001</v>
      </c>
      <c r="U94" s="56">
        <v>17.45</v>
      </c>
      <c r="V94" s="56">
        <v>16.675000000000001</v>
      </c>
      <c r="W94" s="56">
        <v>17.399999999999999</v>
      </c>
      <c r="X94" s="56">
        <v>17.05</v>
      </c>
      <c r="Y94" s="56">
        <v>17.850000000000001</v>
      </c>
      <c r="Z94" s="56">
        <v>16.75</v>
      </c>
      <c r="AA94" s="56">
        <v>17.95</v>
      </c>
      <c r="AB94" s="56">
        <v>17.25</v>
      </c>
      <c r="AC94" s="56">
        <v>16.850000000000001</v>
      </c>
      <c r="AD94" s="56">
        <v>16.350000000000001</v>
      </c>
      <c r="AE94" s="56">
        <v>16.2</v>
      </c>
      <c r="AF94" s="56">
        <v>18.149999999999999</v>
      </c>
      <c r="AG94" s="56">
        <v>16.8</v>
      </c>
      <c r="AH94" s="56">
        <v>17.149999999999999</v>
      </c>
      <c r="AI94" s="56">
        <v>16.850000000000001</v>
      </c>
      <c r="AJ94" s="56"/>
      <c r="AK94" s="56"/>
      <c r="AL94" s="56"/>
      <c r="AM94" s="56"/>
      <c r="AN94" s="56"/>
      <c r="AO94" s="56"/>
      <c r="AP94" s="58">
        <f t="shared" si="3"/>
        <v>25</v>
      </c>
      <c r="AQ94" s="71">
        <f t="shared" si="4"/>
        <v>17.313000000000002</v>
      </c>
      <c r="AR94" s="71">
        <f>IFERROR(VLOOKUP(A94,Climatologia_TMED!A:U,9+$E$2,FALSE),"")</f>
        <v>16.095227145934569</v>
      </c>
      <c r="AS94" s="71">
        <f t="shared" si="5"/>
        <v>1.2177728540654336</v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14.95</v>
      </c>
      <c r="L95" s="56">
        <v>13.95</v>
      </c>
      <c r="M95" s="56">
        <v>13.85</v>
      </c>
      <c r="N95" s="56">
        <v>14.5</v>
      </c>
      <c r="O95" s="56">
        <v>15.25</v>
      </c>
      <c r="P95" s="56">
        <v>14.4</v>
      </c>
      <c r="Q95" s="56">
        <v>14.75</v>
      </c>
      <c r="R95" s="56">
        <v>14.6</v>
      </c>
      <c r="S95" s="56">
        <v>13.1</v>
      </c>
      <c r="T95" s="56">
        <v>13.75</v>
      </c>
      <c r="U95" s="56">
        <v>15.45</v>
      </c>
      <c r="V95" s="56">
        <v>13.75</v>
      </c>
      <c r="W95" s="56">
        <v>14.5</v>
      </c>
      <c r="X95" s="56">
        <v>14.4</v>
      </c>
      <c r="Y95" s="56">
        <v>15.15</v>
      </c>
      <c r="Z95" s="56">
        <v>14.85</v>
      </c>
      <c r="AA95" s="56">
        <v>16</v>
      </c>
      <c r="AB95" s="56">
        <v>16.25</v>
      </c>
      <c r="AC95" s="56">
        <v>14.6</v>
      </c>
      <c r="AD95" s="56">
        <v>16.3</v>
      </c>
      <c r="AE95" s="56">
        <v>13.8</v>
      </c>
      <c r="AF95" s="56">
        <v>15.5</v>
      </c>
      <c r="AG95" s="56">
        <v>13.55</v>
      </c>
      <c r="AH95" s="56">
        <v>14.65</v>
      </c>
      <c r="AI95" s="56">
        <v>15.4</v>
      </c>
      <c r="AJ95" s="56"/>
      <c r="AK95" s="56"/>
      <c r="AL95" s="56"/>
      <c r="AM95" s="56"/>
      <c r="AN95" s="56"/>
      <c r="AO95" s="56"/>
      <c r="AP95" s="58">
        <f t="shared" si="3"/>
        <v>25</v>
      </c>
      <c r="AQ95" s="71">
        <f t="shared" si="4"/>
        <v>14.69</v>
      </c>
      <c r="AR95" s="71">
        <f>IFERROR(VLOOKUP(A95,Climatologia_TMED!A:U,9+$E$2,FALSE),"")</f>
        <v>13.63280813615186</v>
      </c>
      <c r="AS95" s="71">
        <f t="shared" si="5"/>
        <v>1.0571918638481392</v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16.99810674941962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0</v>
      </c>
      <c r="AQ97" s="71" t="str">
        <f t="shared" si="4"/>
        <v/>
      </c>
      <c r="AR97" s="71">
        <f>IFERROR(VLOOKUP(A97,Climatologia_TMED!A:U,9+$E$2,FALSE),"")</f>
        <v>14.41980884109914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13.2</v>
      </c>
      <c r="L98" s="56">
        <v>13.05</v>
      </c>
      <c r="M98" s="56">
        <v>13.6</v>
      </c>
      <c r="N98" s="56">
        <v>13.15</v>
      </c>
      <c r="O98" s="56">
        <v>13.45</v>
      </c>
      <c r="P98" s="56">
        <v>14.25</v>
      </c>
      <c r="Q98" s="56">
        <v>13.95</v>
      </c>
      <c r="R98" s="56">
        <v>14.15</v>
      </c>
      <c r="S98" s="56">
        <v>11.65</v>
      </c>
      <c r="T98" s="56">
        <v>12.3</v>
      </c>
      <c r="U98" s="56">
        <v>13.85</v>
      </c>
      <c r="V98" s="56">
        <v>12.05</v>
      </c>
      <c r="W98" s="56">
        <v>11.7</v>
      </c>
      <c r="X98" s="56">
        <v>13.25</v>
      </c>
      <c r="Y98" s="56">
        <v>13.6</v>
      </c>
      <c r="Z98" s="56">
        <v>12.9</v>
      </c>
      <c r="AA98" s="56">
        <v>13.8</v>
      </c>
      <c r="AB98" s="56">
        <v>14.1</v>
      </c>
      <c r="AC98" s="56">
        <v>13.9</v>
      </c>
      <c r="AD98" s="56">
        <v>13.6</v>
      </c>
      <c r="AE98" s="56">
        <v>12.5</v>
      </c>
      <c r="AF98" s="56">
        <v>12.65</v>
      </c>
      <c r="AG98" s="56">
        <v>13.65</v>
      </c>
      <c r="AH98" s="56">
        <v>12.25</v>
      </c>
      <c r="AI98" s="56">
        <v>12.75</v>
      </c>
      <c r="AJ98" s="56"/>
      <c r="AK98" s="56"/>
      <c r="AL98" s="56"/>
      <c r="AM98" s="56"/>
      <c r="AN98" s="56"/>
      <c r="AO98" s="56"/>
      <c r="AP98" s="58">
        <f t="shared" si="3"/>
        <v>25</v>
      </c>
      <c r="AQ98" s="71">
        <f t="shared" si="4"/>
        <v>13.172000000000001</v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15.43333333333333</v>
      </c>
      <c r="L99" s="56">
        <v>12.4</v>
      </c>
      <c r="M99" s="56">
        <v>14.33333333333333</v>
      </c>
      <c r="N99" s="56">
        <v>12.93333333333333</v>
      </c>
      <c r="O99" s="56">
        <v>14.366666666666671</v>
      </c>
      <c r="P99" s="56">
        <v>15.03333333333333</v>
      </c>
      <c r="Q99" s="56">
        <v>15.233333333333331</v>
      </c>
      <c r="R99" s="56"/>
      <c r="S99" s="56"/>
      <c r="T99" s="56">
        <v>13.03333333333333</v>
      </c>
      <c r="U99" s="56">
        <v>14.266666666666669</v>
      </c>
      <c r="V99" s="56">
        <v>14.93333333333333</v>
      </c>
      <c r="W99" s="56">
        <v>14.33333333333333</v>
      </c>
      <c r="X99" s="56">
        <v>14.266666666666669</v>
      </c>
      <c r="Y99" s="56">
        <v>15.46666666666667</v>
      </c>
      <c r="Z99" s="56">
        <v>14.83333333333333</v>
      </c>
      <c r="AA99" s="56">
        <v>15.96666666666667</v>
      </c>
      <c r="AB99" s="56">
        <v>15.83333333333333</v>
      </c>
      <c r="AC99" s="56">
        <v>13.633333333333329</v>
      </c>
      <c r="AD99" s="56">
        <v>13.366666666666671</v>
      </c>
      <c r="AE99" s="56">
        <v>15.133333333333329</v>
      </c>
      <c r="AF99" s="56">
        <v>14.266666666666669</v>
      </c>
      <c r="AG99" s="56">
        <v>13.96666666666667</v>
      </c>
      <c r="AH99" s="56">
        <v>14.16666666666667</v>
      </c>
      <c r="AI99" s="56">
        <v>15.866666666666671</v>
      </c>
      <c r="AJ99" s="56"/>
      <c r="AK99" s="56"/>
      <c r="AL99" s="56"/>
      <c r="AM99" s="56"/>
      <c r="AN99" s="56"/>
      <c r="AO99" s="56"/>
      <c r="AP99" s="58">
        <f t="shared" si="3"/>
        <v>23</v>
      </c>
      <c r="AQ99" s="71">
        <f t="shared" si="4"/>
        <v>14.481159420289858</v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/>
      <c r="L100" s="56"/>
      <c r="M100" s="56"/>
      <c r="N100" s="56">
        <v>14.33333333333333</v>
      </c>
      <c r="O100" s="56">
        <v>17.466666666666669</v>
      </c>
      <c r="P100" s="56">
        <v>17.733333333333331</v>
      </c>
      <c r="Q100" s="56">
        <v>16.8</v>
      </c>
      <c r="R100" s="56">
        <v>17.533333333333331</v>
      </c>
      <c r="S100" s="56">
        <v>14.33333333333333</v>
      </c>
      <c r="T100" s="56">
        <v>16.466666666666669</v>
      </c>
      <c r="U100" s="56">
        <v>15.9</v>
      </c>
      <c r="V100" s="56">
        <v>16.133333333333329</v>
      </c>
      <c r="W100" s="56">
        <v>16.3</v>
      </c>
      <c r="X100" s="56">
        <v>16.266666666666669</v>
      </c>
      <c r="Y100" s="56">
        <v>17.266666666666669</v>
      </c>
      <c r="Z100" s="56">
        <v>14.733333333333331</v>
      </c>
      <c r="AA100" s="56">
        <v>17.399999999999999</v>
      </c>
      <c r="AB100" s="56"/>
      <c r="AC100" s="56"/>
      <c r="AD100" s="56">
        <v>16.733333333333331</v>
      </c>
      <c r="AE100" s="56">
        <v>16.06666666666667</v>
      </c>
      <c r="AF100" s="56">
        <v>16.2</v>
      </c>
      <c r="AG100" s="56">
        <v>15.66666666666667</v>
      </c>
      <c r="AH100" s="56">
        <v>15.33333333333333</v>
      </c>
      <c r="AI100" s="56"/>
      <c r="AJ100" s="56"/>
      <c r="AK100" s="56"/>
      <c r="AL100" s="56"/>
      <c r="AM100" s="56"/>
      <c r="AN100" s="56"/>
      <c r="AO100" s="56"/>
      <c r="AP100" s="58">
        <f t="shared" si="3"/>
        <v>19</v>
      </c>
      <c r="AQ100" s="71">
        <f t="shared" si="4"/>
        <v>16.245614035087719</v>
      </c>
      <c r="AR100" s="71">
        <f>IFERROR(VLOOKUP(A100,Climatologia_TMED!A:U,9+$E$2,FALSE),"")</f>
        <v>14.309357906107991</v>
      </c>
      <c r="AS100" s="71">
        <f t="shared" si="5"/>
        <v>1.9362561289797284</v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12.95</v>
      </c>
      <c r="L101" s="56">
        <v>12.8</v>
      </c>
      <c r="M101" s="56">
        <v>13</v>
      </c>
      <c r="N101" s="56"/>
      <c r="O101" s="56">
        <v>14</v>
      </c>
      <c r="P101" s="56">
        <v>13.8</v>
      </c>
      <c r="Q101" s="56">
        <v>13.85</v>
      </c>
      <c r="R101" s="56">
        <v>14.35</v>
      </c>
      <c r="S101" s="56">
        <v>11.75</v>
      </c>
      <c r="T101" s="56"/>
      <c r="U101" s="56"/>
      <c r="V101" s="56"/>
      <c r="W101" s="56"/>
      <c r="X101" s="56">
        <v>13.75</v>
      </c>
      <c r="Y101" s="56">
        <v>13.95</v>
      </c>
      <c r="Z101" s="56">
        <v>13.05</v>
      </c>
      <c r="AA101" s="56">
        <v>15.1</v>
      </c>
      <c r="AB101" s="56">
        <v>13.6</v>
      </c>
      <c r="AC101" s="56">
        <v>13.85</v>
      </c>
      <c r="AD101" s="56">
        <v>13.55</v>
      </c>
      <c r="AE101" s="56">
        <v>13</v>
      </c>
      <c r="AF101" s="56">
        <v>14.05</v>
      </c>
      <c r="AG101" s="56">
        <v>12.4</v>
      </c>
      <c r="AH101" s="56">
        <v>11.9</v>
      </c>
      <c r="AI101" s="56"/>
      <c r="AJ101" s="56"/>
      <c r="AK101" s="56"/>
      <c r="AL101" s="56"/>
      <c r="AM101" s="56"/>
      <c r="AN101" s="56"/>
      <c r="AO101" s="56"/>
      <c r="AP101" s="58">
        <f t="shared" si="3"/>
        <v>19</v>
      </c>
      <c r="AQ101" s="71">
        <f t="shared" si="4"/>
        <v>13.405263157894737</v>
      </c>
      <c r="AR101" s="71">
        <f>IFERROR(VLOOKUP(A101,Climatologia_TMED!A:U,9+$E$2,FALSE),"")</f>
        <v>12.33240366261129</v>
      </c>
      <c r="AS101" s="71">
        <f t="shared" si="5"/>
        <v>1.0728594952834474</v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13.866666666666671</v>
      </c>
      <c r="L102" s="56">
        <v>11.733333333333331</v>
      </c>
      <c r="M102" s="56">
        <v>13.133333333333329</v>
      </c>
      <c r="N102" s="56">
        <v>13.4</v>
      </c>
      <c r="O102" s="56"/>
      <c r="P102" s="56"/>
      <c r="Q102" s="56">
        <v>13.933333333333341</v>
      </c>
      <c r="R102" s="56">
        <v>14.2</v>
      </c>
      <c r="S102" s="56">
        <v>10.4</v>
      </c>
      <c r="T102" s="56">
        <v>12.53333333333333</v>
      </c>
      <c r="U102" s="56">
        <v>13.06666666666667</v>
      </c>
      <c r="V102" s="56">
        <v>13.133333333333329</v>
      </c>
      <c r="W102" s="56">
        <v>13.33333333333333</v>
      </c>
      <c r="X102" s="56">
        <v>12.133333333333329</v>
      </c>
      <c r="Y102" s="56">
        <v>13.53333333333333</v>
      </c>
      <c r="Z102" s="56">
        <v>12.866666666666671</v>
      </c>
      <c r="AA102" s="56"/>
      <c r="AB102" s="56">
        <v>13.866666666666671</v>
      </c>
      <c r="AC102" s="56">
        <v>13.53333333333333</v>
      </c>
      <c r="AD102" s="56">
        <v>14.33333333333333</v>
      </c>
      <c r="AE102" s="56">
        <v>11.866666666666671</v>
      </c>
      <c r="AF102" s="56">
        <v>14.2</v>
      </c>
      <c r="AG102" s="56">
        <v>13.06666666666667</v>
      </c>
      <c r="AH102" s="56">
        <v>11.93333333333333</v>
      </c>
      <c r="AI102" s="56">
        <v>12.733333333333331</v>
      </c>
      <c r="AJ102" s="56"/>
      <c r="AK102" s="56"/>
      <c r="AL102" s="56"/>
      <c r="AM102" s="56"/>
      <c r="AN102" s="56"/>
      <c r="AO102" s="56"/>
      <c r="AP102" s="58">
        <f t="shared" si="3"/>
        <v>22</v>
      </c>
      <c r="AQ102" s="71">
        <f t="shared" si="4"/>
        <v>13.036363636363639</v>
      </c>
      <c r="AR102" s="71">
        <f>IFERROR(VLOOKUP(A102,Climatologia_TMED!A:U,9+$E$2,FALSE),"")</f>
        <v>11.246995369385891</v>
      </c>
      <c r="AS102" s="71">
        <f t="shared" si="5"/>
        <v>1.789368266977748</v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25.395078143361999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16.66618458320529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18.86666666666666</v>
      </c>
      <c r="L105" s="56">
        <v>16.600000000000001</v>
      </c>
      <c r="M105" s="56">
        <v>17.466666666666669</v>
      </c>
      <c r="N105" s="56">
        <v>16.533333333333331</v>
      </c>
      <c r="O105" s="56">
        <v>16.733333333333331</v>
      </c>
      <c r="P105" s="56"/>
      <c r="Q105" s="56"/>
      <c r="R105" s="56"/>
      <c r="S105" s="56">
        <v>16.06666666666667</v>
      </c>
      <c r="T105" s="56">
        <v>18.266666666666669</v>
      </c>
      <c r="U105" s="56">
        <v>17.600000000000001</v>
      </c>
      <c r="V105" s="56">
        <v>18.666666666666671</v>
      </c>
      <c r="W105" s="56">
        <v>16.93333333333333</v>
      </c>
      <c r="X105" s="56">
        <v>18.533333333333331</v>
      </c>
      <c r="Y105" s="56">
        <v>18.399999999999999</v>
      </c>
      <c r="Z105" s="56">
        <v>19.06666666666667</v>
      </c>
      <c r="AA105" s="56">
        <v>20.06666666666667</v>
      </c>
      <c r="AB105" s="56">
        <v>19.533333333333331</v>
      </c>
      <c r="AC105" s="56">
        <v>17.733333333333331</v>
      </c>
      <c r="AD105" s="56">
        <v>17.2</v>
      </c>
      <c r="AE105" s="56">
        <v>20.866666666666671</v>
      </c>
      <c r="AF105" s="56">
        <v>18</v>
      </c>
      <c r="AG105" s="56">
        <v>19.466666666666669</v>
      </c>
      <c r="AH105" s="56">
        <v>18.399999999999999</v>
      </c>
      <c r="AI105" s="56">
        <v>17.866666666666671</v>
      </c>
      <c r="AJ105" s="56"/>
      <c r="AK105" s="56"/>
      <c r="AL105" s="56"/>
      <c r="AM105" s="56"/>
      <c r="AN105" s="56"/>
      <c r="AO105" s="56"/>
      <c r="AP105" s="58">
        <f t="shared" si="3"/>
        <v>22</v>
      </c>
      <c r="AQ105" s="71">
        <f t="shared" si="4"/>
        <v>18.130303030303029</v>
      </c>
      <c r="AR105" s="71">
        <f>IFERROR(VLOOKUP(A105,Climatologia_TMED!A:U,9+$E$2,FALSE),"")</f>
        <v>17.044537508476271</v>
      </c>
      <c r="AS105" s="71">
        <f t="shared" si="5"/>
        <v>1.0857655218267581</v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13.676970021560299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>
        <v>16</v>
      </c>
      <c r="L107" s="56">
        <v>14.53333333333333</v>
      </c>
      <c r="M107" s="56"/>
      <c r="N107" s="56"/>
      <c r="O107" s="56"/>
      <c r="P107" s="56">
        <v>15.66666666666667</v>
      </c>
      <c r="Q107" s="56">
        <v>14.93333333333333</v>
      </c>
      <c r="R107" s="56"/>
      <c r="S107" s="56"/>
      <c r="T107" s="56"/>
      <c r="U107" s="56"/>
      <c r="V107" s="56"/>
      <c r="W107" s="56"/>
      <c r="X107" s="56">
        <v>14.93333333333333</v>
      </c>
      <c r="Y107" s="56">
        <v>15.866666666666671</v>
      </c>
      <c r="Z107" s="56">
        <v>14.733333333333331</v>
      </c>
      <c r="AA107" s="56">
        <v>14.866666666666671</v>
      </c>
      <c r="AB107" s="56">
        <v>15.33333333333333</v>
      </c>
      <c r="AC107" s="56">
        <v>13.866666666666671</v>
      </c>
      <c r="AD107" s="56">
        <v>16.399999999999999</v>
      </c>
      <c r="AE107" s="56">
        <v>14.866666666666671</v>
      </c>
      <c r="AF107" s="56">
        <v>14.8</v>
      </c>
      <c r="AG107" s="56">
        <v>15.266666666666669</v>
      </c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14</v>
      </c>
      <c r="AQ107" s="71" t="str">
        <f t="shared" si="4"/>
        <v/>
      </c>
      <c r="AR107" s="71">
        <f>IFERROR(VLOOKUP(A107,Climatologia_TMED!A:U,9+$E$2,FALSE),"")</f>
        <v>13.42031660692947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13.65</v>
      </c>
      <c r="L108" s="56">
        <v>12.85</v>
      </c>
      <c r="M108" s="56">
        <v>12.65</v>
      </c>
      <c r="N108" s="56">
        <v>13.7</v>
      </c>
      <c r="O108" s="56">
        <v>15.35</v>
      </c>
      <c r="P108" s="56">
        <v>15.55</v>
      </c>
      <c r="Q108" s="56">
        <v>15.65</v>
      </c>
      <c r="R108" s="56">
        <v>13.25</v>
      </c>
      <c r="S108" s="56">
        <v>12.3</v>
      </c>
      <c r="T108" s="56">
        <v>13</v>
      </c>
      <c r="U108" s="56">
        <v>13.7</v>
      </c>
      <c r="V108" s="56">
        <v>14.7</v>
      </c>
      <c r="W108" s="56">
        <v>13.9</v>
      </c>
      <c r="X108" s="56">
        <v>14.25</v>
      </c>
      <c r="Y108" s="56">
        <v>13.65</v>
      </c>
      <c r="Z108" s="56">
        <v>12.324999999999999</v>
      </c>
      <c r="AA108" s="56">
        <v>15.75</v>
      </c>
      <c r="AB108" s="56">
        <v>13.775</v>
      </c>
      <c r="AC108" s="56">
        <v>14.75</v>
      </c>
      <c r="AD108" s="56">
        <v>14.3</v>
      </c>
      <c r="AE108" s="56">
        <v>14.85</v>
      </c>
      <c r="AF108" s="56">
        <v>15.5</v>
      </c>
      <c r="AG108" s="56">
        <v>14.85</v>
      </c>
      <c r="AH108" s="56">
        <v>15.65</v>
      </c>
      <c r="AI108" s="56">
        <v>16.25</v>
      </c>
      <c r="AJ108" s="56"/>
      <c r="AK108" s="56"/>
      <c r="AL108" s="56"/>
      <c r="AM108" s="56"/>
      <c r="AN108" s="56"/>
      <c r="AO108" s="56"/>
      <c r="AP108" s="58">
        <f t="shared" si="3"/>
        <v>25</v>
      </c>
      <c r="AQ108" s="71">
        <f t="shared" si="4"/>
        <v>14.246000000000002</v>
      </c>
      <c r="AR108" s="71">
        <f>IFERROR(VLOOKUP(A108,Climatologia_TMED!A:U,9+$E$2,FALSE),"")</f>
        <v>14.22903291473181</v>
      </c>
      <c r="AS108" s="71">
        <f t="shared" si="5"/>
        <v>1.6967085268191795E-2</v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</v>
      </c>
      <c r="L109" s="56">
        <v>13.65</v>
      </c>
      <c r="M109" s="56">
        <v>13.8</v>
      </c>
      <c r="N109" s="56">
        <v>14.15</v>
      </c>
      <c r="O109" s="56">
        <v>14.7</v>
      </c>
      <c r="P109" s="56">
        <v>15.3</v>
      </c>
      <c r="Q109" s="56">
        <v>14.3</v>
      </c>
      <c r="R109" s="56">
        <v>15.05</v>
      </c>
      <c r="S109" s="56">
        <v>14.2</v>
      </c>
      <c r="T109" s="56">
        <v>14.25</v>
      </c>
      <c r="U109" s="56">
        <v>15.25</v>
      </c>
      <c r="V109" s="56">
        <v>14.3</v>
      </c>
      <c r="W109" s="56">
        <v>13.5</v>
      </c>
      <c r="X109" s="56">
        <v>14.35</v>
      </c>
      <c r="Y109" s="56">
        <v>14.65</v>
      </c>
      <c r="Z109" s="56">
        <v>14.7</v>
      </c>
      <c r="AA109" s="56">
        <v>16.05</v>
      </c>
      <c r="AB109" s="56">
        <v>14.65</v>
      </c>
      <c r="AC109" s="56">
        <v>14.75</v>
      </c>
      <c r="AD109" s="56">
        <v>15.2</v>
      </c>
      <c r="AE109" s="56">
        <v>14.2</v>
      </c>
      <c r="AF109" s="56">
        <v>14.9</v>
      </c>
      <c r="AG109" s="56">
        <v>13.85</v>
      </c>
      <c r="AH109" s="56">
        <v>14.6</v>
      </c>
      <c r="AI109" s="56">
        <v>15.7</v>
      </c>
      <c r="AJ109" s="56"/>
      <c r="AK109" s="56"/>
      <c r="AL109" s="56"/>
      <c r="AM109" s="56"/>
      <c r="AN109" s="56"/>
      <c r="AO109" s="56"/>
      <c r="AP109" s="58">
        <f t="shared" si="3"/>
        <v>25</v>
      </c>
      <c r="AQ109" s="71">
        <f t="shared" si="4"/>
        <v>14.561999999999998</v>
      </c>
      <c r="AR109" s="71">
        <f>IFERROR(VLOOKUP(A109,Climatologia_TMED!A:U,9+$E$2,FALSE),"")</f>
        <v>13.71376308750779</v>
      </c>
      <c r="AS109" s="71">
        <f t="shared" si="5"/>
        <v>0.84823691249220801</v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>
        <v>17.600000000000001</v>
      </c>
      <c r="L110" s="56">
        <v>15.93333333333333</v>
      </c>
      <c r="M110" s="56">
        <v>17.06666666666667</v>
      </c>
      <c r="N110" s="56">
        <v>16.133333333333329</v>
      </c>
      <c r="O110" s="56">
        <v>17.93333333333333</v>
      </c>
      <c r="P110" s="56">
        <v>17.86666666666666</v>
      </c>
      <c r="Q110" s="56">
        <v>16.866666666666671</v>
      </c>
      <c r="R110" s="56">
        <v>18.06666666666667</v>
      </c>
      <c r="S110" s="56">
        <v>18.533333333333331</v>
      </c>
      <c r="T110" s="56">
        <v>17.533333333333331</v>
      </c>
      <c r="U110" s="56">
        <v>18</v>
      </c>
      <c r="V110" s="56">
        <v>16.93333333333333</v>
      </c>
      <c r="W110" s="56">
        <v>17.133333333333329</v>
      </c>
      <c r="X110" s="56">
        <v>17.2</v>
      </c>
      <c r="Y110" s="56">
        <v>17.866666666666671</v>
      </c>
      <c r="Z110" s="56">
        <v>18.333333333333329</v>
      </c>
      <c r="AA110" s="56">
        <v>18.466666666666669</v>
      </c>
      <c r="AB110" s="56">
        <v>17.533333333333331</v>
      </c>
      <c r="AC110" s="56">
        <v>17</v>
      </c>
      <c r="AD110" s="56">
        <v>18.13333333333334</v>
      </c>
      <c r="AE110" s="56">
        <v>17.333333333333329</v>
      </c>
      <c r="AF110" s="56">
        <v>17.86666666666666</v>
      </c>
      <c r="AG110" s="56">
        <v>16.266666666666669</v>
      </c>
      <c r="AH110" s="56">
        <v>17.533333333333331</v>
      </c>
      <c r="AI110" s="56">
        <v>18.266666666666669</v>
      </c>
      <c r="AJ110" s="56"/>
      <c r="AK110" s="56"/>
      <c r="AL110" s="56"/>
      <c r="AM110" s="56"/>
      <c r="AN110" s="56"/>
      <c r="AO110" s="56"/>
      <c r="AP110" s="58">
        <f t="shared" si="3"/>
        <v>25</v>
      </c>
      <c r="AQ110" s="71">
        <f t="shared" si="4"/>
        <v>17.495999999999995</v>
      </c>
      <c r="AR110" s="71">
        <f>IFERROR(VLOOKUP(A110,Climatologia_TMED!A:U,9+$E$2,FALSE),"")</f>
        <v>16.934962038466889</v>
      </c>
      <c r="AS110" s="71">
        <f t="shared" si="5"/>
        <v>0.56103796153310626</v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15.33333333333333</v>
      </c>
      <c r="L111" s="56">
        <v>14.8</v>
      </c>
      <c r="M111" s="56">
        <v>15.2</v>
      </c>
      <c r="N111" s="56">
        <v>15.06666666666667</v>
      </c>
      <c r="O111" s="56">
        <v>16.666666666666671</v>
      </c>
      <c r="P111" s="56">
        <v>16.866666666666671</v>
      </c>
      <c r="Q111" s="56">
        <v>15.66666666666667</v>
      </c>
      <c r="R111" s="56">
        <v>16.466666666666669</v>
      </c>
      <c r="S111" s="56">
        <v>15.133333333333329</v>
      </c>
      <c r="T111" s="56">
        <v>15.4</v>
      </c>
      <c r="U111" s="56">
        <v>16.86666666666666</v>
      </c>
      <c r="V111" s="56">
        <v>15.8</v>
      </c>
      <c r="W111" s="56">
        <v>14.866666666666671</v>
      </c>
      <c r="X111" s="56">
        <v>15.66666666666667</v>
      </c>
      <c r="Y111" s="56">
        <v>16.333333333333329</v>
      </c>
      <c r="Z111" s="56">
        <v>16.133333333333329</v>
      </c>
      <c r="AA111" s="56">
        <v>17</v>
      </c>
      <c r="AB111" s="56">
        <v>15.866666666666671</v>
      </c>
      <c r="AC111" s="56">
        <v>16.733333333333331</v>
      </c>
      <c r="AD111" s="56">
        <v>17.06666666666667</v>
      </c>
      <c r="AE111" s="56">
        <v>15.8</v>
      </c>
      <c r="AF111" s="56">
        <v>16.56666666666667</v>
      </c>
      <c r="AG111" s="56">
        <v>14.93333333333333</v>
      </c>
      <c r="AH111" s="56">
        <v>16.06666666666667</v>
      </c>
      <c r="AI111" s="56">
        <v>16.666666666666671</v>
      </c>
      <c r="AJ111" s="56"/>
      <c r="AK111" s="56"/>
      <c r="AL111" s="56"/>
      <c r="AM111" s="56"/>
      <c r="AN111" s="56"/>
      <c r="AO111" s="56"/>
      <c r="AP111" s="58">
        <f t="shared" si="3"/>
        <v>25</v>
      </c>
      <c r="AQ111" s="71">
        <f t="shared" si="4"/>
        <v>15.958666666666669</v>
      </c>
      <c r="AR111" s="71">
        <f>IFERROR(VLOOKUP(A111,Climatologia_TMED!A:U,9+$E$2,FALSE),"")</f>
        <v>15.502363523573189</v>
      </c>
      <c r="AS111" s="71">
        <f t="shared" si="5"/>
        <v>0.4563031430934803</v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17.666666666666671</v>
      </c>
      <c r="L112" s="56">
        <v>16.466666666666669</v>
      </c>
      <c r="M112" s="56">
        <v>16.133333333333329</v>
      </c>
      <c r="N112" s="56">
        <v>16.666666666666671</v>
      </c>
      <c r="O112" s="56">
        <v>17.13333333333334</v>
      </c>
      <c r="P112" s="56">
        <v>18.133333333333329</v>
      </c>
      <c r="Q112" s="56">
        <v>16.93333333333333</v>
      </c>
      <c r="R112" s="56">
        <v>19.399999999999999</v>
      </c>
      <c r="S112" s="56">
        <v>16.8</v>
      </c>
      <c r="T112" s="56">
        <v>18</v>
      </c>
      <c r="U112" s="56">
        <v>18.2</v>
      </c>
      <c r="V112" s="56">
        <v>18.06666666666667</v>
      </c>
      <c r="W112" s="56">
        <v>18</v>
      </c>
      <c r="X112" s="56">
        <v>17.600000000000001</v>
      </c>
      <c r="Y112" s="56">
        <v>17.266666666666669</v>
      </c>
      <c r="Z112" s="56">
        <v>19.2</v>
      </c>
      <c r="AA112" s="56">
        <v>19.266666666666669</v>
      </c>
      <c r="AB112" s="56">
        <v>18.2</v>
      </c>
      <c r="AC112" s="56">
        <v>18.266666666666669</v>
      </c>
      <c r="AD112" s="56">
        <v>18.666666666666671</v>
      </c>
      <c r="AE112" s="56">
        <v>18.266666666666669</v>
      </c>
      <c r="AF112" s="56">
        <v>18.333333333333329</v>
      </c>
      <c r="AG112" s="56">
        <v>16.533333333333331</v>
      </c>
      <c r="AH112" s="56">
        <v>18.266666666666669</v>
      </c>
      <c r="AI112" s="56">
        <v>17.93333333333333</v>
      </c>
      <c r="AJ112" s="56"/>
      <c r="AK112" s="56"/>
      <c r="AL112" s="56"/>
      <c r="AM112" s="56"/>
      <c r="AN112" s="56"/>
      <c r="AO112" s="56"/>
      <c r="AP112" s="58">
        <f t="shared" si="3"/>
        <v>25</v>
      </c>
      <c r="AQ112" s="71">
        <f t="shared" si="4"/>
        <v>17.815999999999995</v>
      </c>
      <c r="AR112" s="71">
        <f>IFERROR(VLOOKUP(A112,Climatologia_TMED!A:U,9+$E$2,FALSE),"")</f>
        <v>16.37969626110208</v>
      </c>
      <c r="AS112" s="71">
        <f t="shared" si="5"/>
        <v>1.4363037388979158</v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19.733333333333331</v>
      </c>
      <c r="L113" s="56">
        <v>17.399999999999999</v>
      </c>
      <c r="M113" s="56">
        <v>17.2</v>
      </c>
      <c r="N113" s="56">
        <v>17.399999999999999</v>
      </c>
      <c r="O113" s="56">
        <v>19.2</v>
      </c>
      <c r="P113" s="56">
        <v>19.266666666666669</v>
      </c>
      <c r="Q113" s="56">
        <v>18.8</v>
      </c>
      <c r="R113" s="56">
        <v>19.86666666666666</v>
      </c>
      <c r="S113" s="56"/>
      <c r="T113" s="56">
        <v>19.06666666666667</v>
      </c>
      <c r="U113" s="56">
        <v>19.666666666666671</v>
      </c>
      <c r="V113" s="56">
        <v>17.93333333333333</v>
      </c>
      <c r="W113" s="56">
        <v>18.266666666666669</v>
      </c>
      <c r="X113" s="56">
        <v>18.8</v>
      </c>
      <c r="Y113" s="56">
        <v>19.93333333333333</v>
      </c>
      <c r="Z113" s="56">
        <v>19.86666666666666</v>
      </c>
      <c r="AA113" s="56">
        <v>21</v>
      </c>
      <c r="AB113" s="56">
        <v>19.466666666666669</v>
      </c>
      <c r="AC113" s="56">
        <v>19.2</v>
      </c>
      <c r="AD113" s="56">
        <v>21.06666666666667</v>
      </c>
      <c r="AE113" s="56">
        <v>19.2</v>
      </c>
      <c r="AF113" s="56">
        <v>19.8</v>
      </c>
      <c r="AG113" s="56">
        <v>16.8</v>
      </c>
      <c r="AH113" s="56">
        <v>19.666666666666671</v>
      </c>
      <c r="AI113" s="56">
        <v>19.733333333333331</v>
      </c>
      <c r="AJ113" s="56"/>
      <c r="AK113" s="56"/>
      <c r="AL113" s="56"/>
      <c r="AM113" s="56"/>
      <c r="AN113" s="56"/>
      <c r="AO113" s="56"/>
      <c r="AP113" s="58">
        <f t="shared" si="3"/>
        <v>24</v>
      </c>
      <c r="AQ113" s="71">
        <f t="shared" si="4"/>
        <v>19.097222222222225</v>
      </c>
      <c r="AR113" s="71">
        <f>IFERROR(VLOOKUP(A113,Climatologia_TMED!A:U,9+$E$2,FALSE),"")</f>
        <v>18.124387467556531</v>
      </c>
      <c r="AS113" s="71">
        <f t="shared" si="5"/>
        <v>0.97283475466569413</v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/>
      <c r="L114" s="56">
        <v>19.399999999999999</v>
      </c>
      <c r="M114" s="56">
        <v>20</v>
      </c>
      <c r="N114" s="56"/>
      <c r="O114" s="56"/>
      <c r="P114" s="56"/>
      <c r="Q114" s="56">
        <v>20.399999999999999</v>
      </c>
      <c r="R114" s="56">
        <v>23.266666666666669</v>
      </c>
      <c r="S114" s="56">
        <v>19.600000000000001</v>
      </c>
      <c r="T114" s="56">
        <v>21.666666666666671</v>
      </c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>
        <v>24.86666666666666</v>
      </c>
      <c r="AI114" s="56">
        <v>24.13333333333334</v>
      </c>
      <c r="AJ114" s="56"/>
      <c r="AK114" s="56"/>
      <c r="AL114" s="56"/>
      <c r="AM114" s="56"/>
      <c r="AN114" s="56"/>
      <c r="AO114" s="56"/>
      <c r="AP114" s="58">
        <f t="shared" si="3"/>
        <v>8</v>
      </c>
      <c r="AQ114" s="71" t="str">
        <f t="shared" si="4"/>
        <v/>
      </c>
      <c r="AR114" s="71">
        <f>IFERROR(VLOOKUP(A114,Climatologia_TMED!A:U,9+$E$2,FALSE),"")</f>
        <v>20.166521223382851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26.95</v>
      </c>
      <c r="L115" s="56">
        <v>24.55</v>
      </c>
      <c r="M115" s="56">
        <v>25.6</v>
      </c>
      <c r="N115" s="56">
        <v>24</v>
      </c>
      <c r="O115" s="56">
        <v>24.7</v>
      </c>
      <c r="P115" s="56">
        <v>26.55</v>
      </c>
      <c r="Q115" s="56">
        <v>25.3</v>
      </c>
      <c r="R115" s="56">
        <v>25.95</v>
      </c>
      <c r="S115" s="56">
        <v>24.15</v>
      </c>
      <c r="T115" s="56">
        <v>26.8</v>
      </c>
      <c r="U115" s="56">
        <v>27.1</v>
      </c>
      <c r="V115" s="56">
        <v>26.35</v>
      </c>
      <c r="W115" s="56">
        <v>27.25</v>
      </c>
      <c r="X115" s="56">
        <v>27.75</v>
      </c>
      <c r="Y115" s="56">
        <v>27.4</v>
      </c>
      <c r="Z115" s="56">
        <v>28.2</v>
      </c>
      <c r="AA115" s="56">
        <v>29.5</v>
      </c>
      <c r="AB115" s="56">
        <v>25.7</v>
      </c>
      <c r="AC115" s="56">
        <v>25.95</v>
      </c>
      <c r="AD115" s="56">
        <v>26.25</v>
      </c>
      <c r="AE115" s="56">
        <v>26.024999999999999</v>
      </c>
      <c r="AF115" s="56">
        <v>26.1</v>
      </c>
      <c r="AG115" s="56">
        <v>23.15</v>
      </c>
      <c r="AH115" s="56">
        <v>27.9</v>
      </c>
      <c r="AI115" s="56">
        <v>26.25</v>
      </c>
      <c r="AJ115" s="56"/>
      <c r="AK115" s="56"/>
      <c r="AL115" s="56"/>
      <c r="AM115" s="56"/>
      <c r="AN115" s="56"/>
      <c r="AO115" s="56"/>
      <c r="AP115" s="58">
        <f t="shared" si="3"/>
        <v>25</v>
      </c>
      <c r="AQ115" s="71">
        <f t="shared" si="4"/>
        <v>26.216999999999999</v>
      </c>
      <c r="AR115" s="71">
        <f>IFERROR(VLOOKUP(A115,Climatologia_TMED!A:U,9+$E$2,FALSE),"")</f>
        <v>25.844479977753021</v>
      </c>
      <c r="AS115" s="71">
        <f t="shared" si="5"/>
        <v>0.37252002224697733</v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19.733333333333331</v>
      </c>
      <c r="L116" s="56">
        <v>17.93333333333333</v>
      </c>
      <c r="M116" s="56">
        <v>19.333333333333329</v>
      </c>
      <c r="N116" s="56">
        <v>17.666666666666671</v>
      </c>
      <c r="O116" s="56">
        <v>19.533333333333331</v>
      </c>
      <c r="P116" s="56">
        <v>19.8</v>
      </c>
      <c r="Q116" s="56">
        <v>19.666666666666671</v>
      </c>
      <c r="R116" s="56">
        <v>19.733333333333331</v>
      </c>
      <c r="S116" s="56">
        <v>17.2</v>
      </c>
      <c r="T116" s="56">
        <v>19.06666666666667</v>
      </c>
      <c r="U116" s="56">
        <v>19.733333333333331</v>
      </c>
      <c r="V116" s="56">
        <v>19.93333333333333</v>
      </c>
      <c r="W116" s="56">
        <v>20</v>
      </c>
      <c r="X116" s="56">
        <v>18.533333333333331</v>
      </c>
      <c r="Y116" s="56">
        <v>19.600000000000001</v>
      </c>
      <c r="Z116" s="56">
        <v>19.8</v>
      </c>
      <c r="AA116" s="56">
        <v>20.266666666666669</v>
      </c>
      <c r="AB116" s="56">
        <v>19.666666666666671</v>
      </c>
      <c r="AC116" s="56">
        <v>18.399999999999999</v>
      </c>
      <c r="AD116" s="56">
        <v>19.06666666666667</v>
      </c>
      <c r="AE116" s="56">
        <v>18.466666666666669</v>
      </c>
      <c r="AF116" s="56">
        <v>19.93333333333333</v>
      </c>
      <c r="AG116" s="56">
        <v>18.666666666666671</v>
      </c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23</v>
      </c>
      <c r="AQ116" s="71">
        <f t="shared" si="4"/>
        <v>19.205797101449274</v>
      </c>
      <c r="AR116" s="71">
        <f>IFERROR(VLOOKUP(A116,Climatologia_TMED!A:U,9+$E$2,FALSE),"")</f>
        <v>18.39650516634082</v>
      </c>
      <c r="AS116" s="71">
        <f t="shared" si="5"/>
        <v>0.80929193510845465</v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26.2</v>
      </c>
      <c r="L117" s="56">
        <v>24.733333333333331</v>
      </c>
      <c r="M117" s="56">
        <v>25.4</v>
      </c>
      <c r="N117" s="56">
        <v>24.2</v>
      </c>
      <c r="O117" s="56">
        <v>24.2</v>
      </c>
      <c r="P117" s="56">
        <v>26.6</v>
      </c>
      <c r="Q117" s="56">
        <v>26.13333333333334</v>
      </c>
      <c r="R117" s="56">
        <v>27.666666666666671</v>
      </c>
      <c r="S117" s="56">
        <v>23.8</v>
      </c>
      <c r="T117" s="56">
        <v>27.13333333333334</v>
      </c>
      <c r="U117" s="56">
        <v>27</v>
      </c>
      <c r="V117" s="56">
        <v>26.06666666666667</v>
      </c>
      <c r="W117" s="56">
        <v>26.733333333333331</v>
      </c>
      <c r="X117" s="56">
        <v>27.666666666666671</v>
      </c>
      <c r="Y117" s="56">
        <v>28.733333333333331</v>
      </c>
      <c r="Z117" s="56">
        <v>27.933333333333341</v>
      </c>
      <c r="AA117" s="56">
        <v>29.266666666666669</v>
      </c>
      <c r="AB117" s="56">
        <v>25.266666666666669</v>
      </c>
      <c r="AC117" s="56">
        <v>25.533333333333331</v>
      </c>
      <c r="AD117" s="56">
        <v>25.733333333333331</v>
      </c>
      <c r="AE117" s="56">
        <v>26.866666666666671</v>
      </c>
      <c r="AF117" s="56">
        <v>26.466666666666669</v>
      </c>
      <c r="AG117" s="56">
        <v>24.2</v>
      </c>
      <c r="AH117" s="56">
        <v>26.666666666666671</v>
      </c>
      <c r="AI117" s="56">
        <v>25.533333333333331</v>
      </c>
      <c r="AJ117" s="56"/>
      <c r="AK117" s="56"/>
      <c r="AL117" s="56"/>
      <c r="AM117" s="56"/>
      <c r="AN117" s="56"/>
      <c r="AO117" s="56"/>
      <c r="AP117" s="58">
        <f t="shared" si="3"/>
        <v>25</v>
      </c>
      <c r="AQ117" s="71">
        <f t="shared" si="4"/>
        <v>26.22933333333334</v>
      </c>
      <c r="AR117" s="71">
        <f>IFERROR(VLOOKUP(A117,Climatologia_TMED!A:U,9+$E$2,FALSE),"")</f>
        <v>25.368839605734749</v>
      </c>
      <c r="AS117" s="71">
        <f t="shared" si="5"/>
        <v>0.86049372759859111</v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28.666666666666671</v>
      </c>
      <c r="L118" s="56">
        <v>28.266666666666669</v>
      </c>
      <c r="M118" s="56">
        <v>27.333333333333329</v>
      </c>
      <c r="N118" s="56">
        <v>28.466666666666669</v>
      </c>
      <c r="O118" s="56">
        <v>28.533333333333331</v>
      </c>
      <c r="P118" s="56">
        <v>29.466666666666669</v>
      </c>
      <c r="Q118" s="56">
        <v>28.266666666666669</v>
      </c>
      <c r="R118" s="56">
        <v>28.13333333333334</v>
      </c>
      <c r="S118" s="56">
        <v>27.266666666666669</v>
      </c>
      <c r="T118" s="56">
        <v>28.4</v>
      </c>
      <c r="U118" s="56">
        <v>28.333333333333329</v>
      </c>
      <c r="V118" s="56">
        <v>27.733333333333331</v>
      </c>
      <c r="W118" s="56">
        <v>28.6</v>
      </c>
      <c r="X118" s="56">
        <v>28.666666666666671</v>
      </c>
      <c r="Y118" s="56">
        <v>29.6</v>
      </c>
      <c r="Z118" s="56">
        <v>29.666666666666671</v>
      </c>
      <c r="AA118" s="56">
        <v>30.13333333333334</v>
      </c>
      <c r="AB118" s="56">
        <v>29.066666666666659</v>
      </c>
      <c r="AC118" s="56">
        <v>28.4</v>
      </c>
      <c r="AD118" s="56">
        <v>28.733333333333331</v>
      </c>
      <c r="AE118" s="56">
        <v>29.2</v>
      </c>
      <c r="AF118" s="56">
        <v>29.333333333333329</v>
      </c>
      <c r="AG118" s="56">
        <v>27.4</v>
      </c>
      <c r="AH118" s="56">
        <v>29.6</v>
      </c>
      <c r="AI118" s="56"/>
      <c r="AJ118" s="56"/>
      <c r="AK118" s="56"/>
      <c r="AL118" s="56"/>
      <c r="AM118" s="56"/>
      <c r="AN118" s="56"/>
      <c r="AO118" s="56"/>
      <c r="AP118" s="58">
        <f t="shared" si="3"/>
        <v>24</v>
      </c>
      <c r="AQ118" s="71">
        <f t="shared" si="4"/>
        <v>28.636111111111116</v>
      </c>
      <c r="AR118" s="71">
        <f>IFERROR(VLOOKUP(A118,Climatologia_TMED!A:U,9+$E$2,FALSE),"")</f>
        <v>25.753279569892459</v>
      </c>
      <c r="AS118" s="71">
        <f t="shared" si="5"/>
        <v>2.8828315412186569</v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23.333333333333329</v>
      </c>
      <c r="L119" s="56">
        <v>22</v>
      </c>
      <c r="M119" s="56">
        <v>23</v>
      </c>
      <c r="N119" s="56">
        <v>22</v>
      </c>
      <c r="O119" s="56">
        <v>23</v>
      </c>
      <c r="P119" s="56">
        <v>24.066666666666659</v>
      </c>
      <c r="Q119" s="56">
        <v>23.666666666666671</v>
      </c>
      <c r="R119" s="56">
        <v>23.333333333333329</v>
      </c>
      <c r="S119" s="56">
        <v>22.93333333333333</v>
      </c>
      <c r="T119" s="56">
        <v>24.333333333333329</v>
      </c>
      <c r="U119" s="56">
        <v>23.533333333333331</v>
      </c>
      <c r="V119" s="56">
        <v>22.13333333333334</v>
      </c>
      <c r="W119" s="56">
        <v>23</v>
      </c>
      <c r="X119" s="56">
        <v>24.13333333333334</v>
      </c>
      <c r="Y119" s="56">
        <v>23.666666666666671</v>
      </c>
      <c r="Z119" s="56">
        <v>24.733333333333331</v>
      </c>
      <c r="AA119" s="56">
        <v>24.8</v>
      </c>
      <c r="AB119" s="56">
        <v>23.533333333333331</v>
      </c>
      <c r="AC119" s="56">
        <v>24.733333333333331</v>
      </c>
      <c r="AD119" s="56">
        <v>23.666666666666671</v>
      </c>
      <c r="AE119" s="56">
        <v>24</v>
      </c>
      <c r="AF119" s="56">
        <v>24.4</v>
      </c>
      <c r="AG119" s="56">
        <v>24.066666666666659</v>
      </c>
      <c r="AH119" s="56">
        <v>23.8</v>
      </c>
      <c r="AI119" s="56">
        <v>24.6</v>
      </c>
      <c r="AJ119" s="56"/>
      <c r="AK119" s="56"/>
      <c r="AL119" s="56"/>
      <c r="AM119" s="56"/>
      <c r="AN119" s="56"/>
      <c r="AO119" s="56"/>
      <c r="AP119" s="58">
        <f t="shared" si="3"/>
        <v>25</v>
      </c>
      <c r="AQ119" s="71">
        <f t="shared" si="4"/>
        <v>23.61866666666667</v>
      </c>
      <c r="AR119" s="71">
        <f>IFERROR(VLOOKUP(A119,Climatologia_TMED!A:U,9+$E$2,FALSE),"")</f>
        <v>21.728440860215009</v>
      </c>
      <c r="AS119" s="71">
        <f t="shared" si="5"/>
        <v>1.8902258064516602</v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/>
      <c r="L120" s="56">
        <v>25</v>
      </c>
      <c r="M120" s="56">
        <v>25.13333333333334</v>
      </c>
      <c r="N120" s="56">
        <v>26.466666666666669</v>
      </c>
      <c r="O120" s="56">
        <v>26.133333333333329</v>
      </c>
      <c r="P120" s="56"/>
      <c r="Q120" s="56"/>
      <c r="R120" s="56"/>
      <c r="S120" s="56">
        <v>23.666666666666671</v>
      </c>
      <c r="T120" s="56">
        <v>28.2</v>
      </c>
      <c r="U120" s="56">
        <v>27.93333333333333</v>
      </c>
      <c r="V120" s="56"/>
      <c r="W120" s="56">
        <v>28</v>
      </c>
      <c r="X120" s="56">
        <v>26.8</v>
      </c>
      <c r="Y120" s="56">
        <v>28</v>
      </c>
      <c r="Z120" s="56">
        <v>28.8</v>
      </c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11</v>
      </c>
      <c r="AQ120" s="71" t="str">
        <f t="shared" si="4"/>
        <v/>
      </c>
      <c r="AR120" s="71">
        <f>IFERROR(VLOOKUP(A120,Climatologia_TMED!A:U,9+$E$2,FALSE),"")</f>
        <v>25.70804901932819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26.268180531975069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</v>
      </c>
      <c r="L122" s="56">
        <v>11.33333333333333</v>
      </c>
      <c r="M122" s="56">
        <v>11.46666666666667</v>
      </c>
      <c r="N122" s="56">
        <v>11.46666666666667</v>
      </c>
      <c r="O122" s="56">
        <v>10.33333333333333</v>
      </c>
      <c r="P122" s="56">
        <v>13</v>
      </c>
      <c r="Q122" s="56">
        <v>13.2</v>
      </c>
      <c r="R122" s="56">
        <v>12.633333333333329</v>
      </c>
      <c r="S122" s="56">
        <v>11.866666666666671</v>
      </c>
      <c r="T122" s="56">
        <v>12.46666666666667</v>
      </c>
      <c r="U122" s="56">
        <v>13.06666666666667</v>
      </c>
      <c r="V122" s="56">
        <v>12</v>
      </c>
      <c r="W122" s="56">
        <v>12</v>
      </c>
      <c r="X122" s="56">
        <v>12.866666666666671</v>
      </c>
      <c r="Y122" s="56">
        <v>12.733333333333331</v>
      </c>
      <c r="Z122" s="56">
        <v>13.133333333333329</v>
      </c>
      <c r="AA122" s="56">
        <v>13.133333333333329</v>
      </c>
      <c r="AB122" s="56">
        <v>12.2</v>
      </c>
      <c r="AC122" s="56">
        <v>11.133333333333329</v>
      </c>
      <c r="AD122" s="56">
        <v>11.46666666666667</v>
      </c>
      <c r="AE122" s="56">
        <v>12.733333333333331</v>
      </c>
      <c r="AF122" s="56">
        <v>12.866666666666671</v>
      </c>
      <c r="AG122" s="56">
        <v>12.2</v>
      </c>
      <c r="AH122" s="56">
        <v>10.866666666666671</v>
      </c>
      <c r="AI122" s="56">
        <v>12.8</v>
      </c>
      <c r="AJ122" s="56"/>
      <c r="AK122" s="56"/>
      <c r="AL122" s="56"/>
      <c r="AM122" s="56"/>
      <c r="AN122" s="56"/>
      <c r="AO122" s="56"/>
      <c r="AP122" s="58">
        <f t="shared" si="3"/>
        <v>25</v>
      </c>
      <c r="AQ122" s="71">
        <f t="shared" si="4"/>
        <v>12.198666666666666</v>
      </c>
      <c r="AR122" s="71">
        <f>IFERROR(VLOOKUP(A122,Climatologia_TMED!A:U,9+$E$2,FALSE),"")</f>
        <v>10.302756995970279</v>
      </c>
      <c r="AS122" s="71">
        <f t="shared" si="5"/>
        <v>1.8959096706963869</v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22.11442528467698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15.66666666666667</v>
      </c>
      <c r="L124" s="56">
        <v>14.93333333333333</v>
      </c>
      <c r="M124" s="56">
        <v>15.266666666666669</v>
      </c>
      <c r="N124" s="56">
        <v>15.06666666666667</v>
      </c>
      <c r="O124" s="56">
        <v>15.53333333333333</v>
      </c>
      <c r="P124" s="56">
        <v>15.93333333333333</v>
      </c>
      <c r="Q124" s="56">
        <v>16.2</v>
      </c>
      <c r="R124" s="56">
        <v>15.8</v>
      </c>
      <c r="S124" s="56">
        <v>15.866666666666671</v>
      </c>
      <c r="T124" s="56">
        <v>14.66666666666667</v>
      </c>
      <c r="U124" s="56">
        <v>15.66666666666667</v>
      </c>
      <c r="V124" s="56"/>
      <c r="W124" s="56">
        <v>15.133333333333329</v>
      </c>
      <c r="X124" s="56">
        <v>16.133333333333329</v>
      </c>
      <c r="Y124" s="56">
        <v>15.866666666666671</v>
      </c>
      <c r="Z124" s="56">
        <v>16</v>
      </c>
      <c r="AA124" s="56">
        <v>17.8</v>
      </c>
      <c r="AB124" s="56">
        <v>15.66666666666667</v>
      </c>
      <c r="AC124" s="56">
        <v>15.33333333333333</v>
      </c>
      <c r="AD124" s="56">
        <v>17.93333333333333</v>
      </c>
      <c r="AE124" s="56">
        <v>17.533333333333331</v>
      </c>
      <c r="AF124" s="56">
        <v>16.8</v>
      </c>
      <c r="AG124" s="56">
        <v>14.8</v>
      </c>
      <c r="AH124" s="56">
        <v>16.93333333333333</v>
      </c>
      <c r="AI124" s="56">
        <v>17.333333333333329</v>
      </c>
      <c r="AJ124" s="56"/>
      <c r="AK124" s="56"/>
      <c r="AL124" s="56"/>
      <c r="AM124" s="56"/>
      <c r="AN124" s="56"/>
      <c r="AO124" s="56"/>
      <c r="AP124" s="58">
        <f t="shared" si="3"/>
        <v>24</v>
      </c>
      <c r="AQ124" s="71">
        <f t="shared" si="4"/>
        <v>15.994444444444445</v>
      </c>
      <c r="AR124" s="71">
        <f>IFERROR(VLOOKUP(A124,Climatologia_TMED!A:U,9+$E$2,FALSE),"")</f>
        <v>15.04905895954351</v>
      </c>
      <c r="AS124" s="71">
        <f t="shared" si="5"/>
        <v>0.94538548490093532</v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15.951443885824309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>
        <v>12.2</v>
      </c>
      <c r="L126" s="56">
        <v>12.06666666666667</v>
      </c>
      <c r="M126" s="56"/>
      <c r="N126" s="56">
        <v>11.866666666666671</v>
      </c>
      <c r="O126" s="56"/>
      <c r="P126" s="56">
        <v>12.6</v>
      </c>
      <c r="Q126" s="56"/>
      <c r="R126" s="56">
        <v>11.866666666666671</v>
      </c>
      <c r="S126" s="56"/>
      <c r="T126" s="56">
        <v>11.93333333333333</v>
      </c>
      <c r="U126" s="56">
        <v>11.733333333333331</v>
      </c>
      <c r="V126" s="56">
        <v>11.06666666666667</v>
      </c>
      <c r="W126" s="56">
        <v>11.133333333333329</v>
      </c>
      <c r="X126" s="56"/>
      <c r="Y126" s="56">
        <v>11.866666666666671</v>
      </c>
      <c r="Z126" s="56">
        <v>12.733333333333331</v>
      </c>
      <c r="AA126" s="56">
        <v>12.66666666666667</v>
      </c>
      <c r="AB126" s="56"/>
      <c r="AC126" s="56">
        <v>12.133333333333329</v>
      </c>
      <c r="AD126" s="56">
        <v>13.133333333333329</v>
      </c>
      <c r="AE126" s="56"/>
      <c r="AF126" s="56">
        <v>12.2</v>
      </c>
      <c r="AG126" s="56">
        <v>11.06666666666667</v>
      </c>
      <c r="AH126" s="56">
        <v>10.53333333333333</v>
      </c>
      <c r="AI126" s="56">
        <v>11.53333333333333</v>
      </c>
      <c r="AJ126" s="56"/>
      <c r="AK126" s="56"/>
      <c r="AL126" s="56"/>
      <c r="AM126" s="56"/>
      <c r="AN126" s="56"/>
      <c r="AO126" s="56"/>
      <c r="AP126" s="58">
        <f t="shared" si="3"/>
        <v>18</v>
      </c>
      <c r="AQ126" s="71">
        <f t="shared" si="4"/>
        <v>11.907407407407405</v>
      </c>
      <c r="AR126" s="71">
        <f>IFERROR(VLOOKUP(A126,Climatologia_TMED!A:U,9+$E$2,FALSE),"")</f>
        <v>10.712446216063739</v>
      </c>
      <c r="AS126" s="71">
        <f t="shared" si="5"/>
        <v>1.1949611913436655</v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25.058785293293241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24.96254062126642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25.854111592301919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16.43333333333333</v>
      </c>
      <c r="L130" s="56">
        <v>16.06666666666667</v>
      </c>
      <c r="M130" s="56">
        <v>14.6</v>
      </c>
      <c r="N130" s="56">
        <v>15.66666666666667</v>
      </c>
      <c r="O130" s="56">
        <v>16.06666666666667</v>
      </c>
      <c r="P130" s="56">
        <v>16.533333333333331</v>
      </c>
      <c r="Q130" s="56">
        <v>16.2</v>
      </c>
      <c r="R130" s="56">
        <v>16.600000000000001</v>
      </c>
      <c r="S130" s="56">
        <v>16.166666666666671</v>
      </c>
      <c r="T130" s="56">
        <v>15.56666666666667</v>
      </c>
      <c r="U130" s="56">
        <v>15.53333333333333</v>
      </c>
      <c r="V130" s="56">
        <v>15.266666666666669</v>
      </c>
      <c r="W130" s="56">
        <v>15.16666666666667</v>
      </c>
      <c r="X130" s="56">
        <v>16.36666666666666</v>
      </c>
      <c r="Y130" s="56">
        <v>16.333333333333329</v>
      </c>
      <c r="Z130" s="56">
        <v>16.533333333333331</v>
      </c>
      <c r="AA130" s="56">
        <v>16.7</v>
      </c>
      <c r="AB130" s="56">
        <v>16</v>
      </c>
      <c r="AC130" s="56">
        <v>14.233333333333331</v>
      </c>
      <c r="AD130" s="56">
        <v>14.066666666666659</v>
      </c>
      <c r="AE130" s="56">
        <v>17.233333333333331</v>
      </c>
      <c r="AF130" s="56">
        <v>16.7</v>
      </c>
      <c r="AG130" s="56">
        <v>15.8</v>
      </c>
      <c r="AH130" s="56">
        <v>14.9</v>
      </c>
      <c r="AI130" s="56">
        <v>15.8</v>
      </c>
      <c r="AJ130" s="56"/>
      <c r="AK130" s="56"/>
      <c r="AL130" s="56"/>
      <c r="AM130" s="56"/>
      <c r="AN130" s="56"/>
      <c r="AO130" s="56"/>
      <c r="AP130" s="58">
        <f t="shared" si="3"/>
        <v>25</v>
      </c>
      <c r="AQ130" s="71">
        <f t="shared" si="4"/>
        <v>15.861333333333334</v>
      </c>
      <c r="AR130" s="71">
        <f>IFERROR(VLOOKUP(A130,Climatologia_TMED!A:U,9+$E$2,FALSE),"")</f>
        <v>14.253242374467449</v>
      </c>
      <c r="AS130" s="71">
        <f t="shared" si="5"/>
        <v>1.6080909588658852</v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18.2</v>
      </c>
      <c r="L131" s="56">
        <v>17.95</v>
      </c>
      <c r="M131" s="56">
        <v>16.649999999999999</v>
      </c>
      <c r="N131" s="56">
        <v>18</v>
      </c>
      <c r="O131" s="56">
        <v>18.7</v>
      </c>
      <c r="P131" s="56">
        <v>18.850000000000001</v>
      </c>
      <c r="Q131" s="56">
        <v>20.149999999999999</v>
      </c>
      <c r="R131" s="56">
        <v>18.850000000000001</v>
      </c>
      <c r="S131" s="56">
        <v>18.600000000000001</v>
      </c>
      <c r="T131" s="56">
        <v>18.75</v>
      </c>
      <c r="U131" s="56">
        <v>17.850000000000001</v>
      </c>
      <c r="V131" s="56">
        <v>17.3</v>
      </c>
      <c r="W131" s="56">
        <v>17.8</v>
      </c>
      <c r="X131" s="56">
        <v>18.850000000000001</v>
      </c>
      <c r="Y131" s="56">
        <v>18.7</v>
      </c>
      <c r="Z131" s="56">
        <v>19.5</v>
      </c>
      <c r="AA131" s="56">
        <v>18.55</v>
      </c>
      <c r="AB131" s="56">
        <v>18.55</v>
      </c>
      <c r="AC131" s="56">
        <v>17.5</v>
      </c>
      <c r="AD131" s="56">
        <v>16.649999999999999</v>
      </c>
      <c r="AE131" s="56">
        <v>18.850000000000001</v>
      </c>
      <c r="AF131" s="56">
        <v>18.350000000000001</v>
      </c>
      <c r="AG131" s="56">
        <v>18.55</v>
      </c>
      <c r="AH131" s="56">
        <v>18.399999999999999</v>
      </c>
      <c r="AI131" s="56">
        <v>18.8</v>
      </c>
      <c r="AJ131" s="56"/>
      <c r="AK131" s="56"/>
      <c r="AL131" s="56"/>
      <c r="AM131" s="56"/>
      <c r="AN131" s="56"/>
      <c r="AO131" s="56"/>
      <c r="AP131" s="58">
        <f t="shared" si="3"/>
        <v>25</v>
      </c>
      <c r="AQ131" s="71">
        <f t="shared" si="4"/>
        <v>18.356000000000002</v>
      </c>
      <c r="AR131" s="71">
        <f>IFERROR(VLOOKUP(A131,Climatologia_TMED!A:U,9+$E$2,FALSE),"")</f>
        <v>16.792896998903949</v>
      </c>
      <c r="AS131" s="71">
        <f t="shared" si="5"/>
        <v>1.5631030010960529</v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18.523504045357839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13.866666666666671</v>
      </c>
      <c r="L133" s="56">
        <v>13.866666666666671</v>
      </c>
      <c r="M133" s="56">
        <v>13.2</v>
      </c>
      <c r="N133" s="56">
        <v>13.8</v>
      </c>
      <c r="O133" s="56">
        <v>14.33333333333333</v>
      </c>
      <c r="P133" s="56">
        <v>13.66666666666667</v>
      </c>
      <c r="Q133" s="56">
        <v>14.3</v>
      </c>
      <c r="R133" s="56">
        <v>15.3</v>
      </c>
      <c r="S133" s="56">
        <v>15.03333333333333</v>
      </c>
      <c r="T133" s="56">
        <v>13.66666666666667</v>
      </c>
      <c r="U133" s="56">
        <v>14.266666666666669</v>
      </c>
      <c r="V133" s="56">
        <v>12.6</v>
      </c>
      <c r="W133" s="56">
        <v>13.6</v>
      </c>
      <c r="X133" s="56">
        <v>13.8</v>
      </c>
      <c r="Y133" s="56">
        <v>14.1</v>
      </c>
      <c r="Z133" s="56">
        <v>15.133333333333329</v>
      </c>
      <c r="AA133" s="56">
        <v>14.366666666666671</v>
      </c>
      <c r="AB133" s="56">
        <v>13.93333333333333</v>
      </c>
      <c r="AC133" s="56">
        <v>13.46666666666667</v>
      </c>
      <c r="AD133" s="56">
        <v>14.266666666666669</v>
      </c>
      <c r="AE133" s="56">
        <v>14.266666666666669</v>
      </c>
      <c r="AF133" s="56">
        <v>14</v>
      </c>
      <c r="AG133" s="56">
        <v>13.03333333333333</v>
      </c>
      <c r="AH133" s="56">
        <v>12.16666666666667</v>
      </c>
      <c r="AI133" s="56">
        <v>13.4</v>
      </c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25</v>
      </c>
      <c r="AQ133" s="71">
        <f t="shared" ref="AQ133:AQ196" si="7">IF(AP133&gt;14,AVERAGE(K133:AO133),"")</f>
        <v>13.89733333333333</v>
      </c>
      <c r="AR133" s="71">
        <f>IFERROR(VLOOKUP(A133,Climatologia_TMED!A:U,9+$E$2,FALSE),"")</f>
        <v>12.63533977465384</v>
      </c>
      <c r="AS133" s="71">
        <f t="shared" ref="AS133:AS196" si="8">IF(OR(AQ133="",AR133=""),"",IFERROR(AQ133-AR133,""))</f>
        <v>1.2619935586794906</v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18.533333333333331</v>
      </c>
      <c r="L134" s="56">
        <v>18.133333333333329</v>
      </c>
      <c r="M134" s="56">
        <v>17.266666666666669</v>
      </c>
      <c r="N134" s="56">
        <v>17</v>
      </c>
      <c r="O134" s="56">
        <v>17.399999999999999</v>
      </c>
      <c r="P134" s="56">
        <v>17.8</v>
      </c>
      <c r="Q134" s="56">
        <v>18.733333333333331</v>
      </c>
      <c r="R134" s="56">
        <v>18.06666666666667</v>
      </c>
      <c r="S134" s="56">
        <v>18.2</v>
      </c>
      <c r="T134" s="56">
        <v>18.533333333333331</v>
      </c>
      <c r="U134" s="56">
        <v>18.13333333333334</v>
      </c>
      <c r="V134" s="56">
        <v>17.8</v>
      </c>
      <c r="W134" s="56">
        <v>17.533333333333331</v>
      </c>
      <c r="X134" s="56">
        <v>17.93333333333333</v>
      </c>
      <c r="Y134" s="56">
        <v>18.466666666666669</v>
      </c>
      <c r="Z134" s="56">
        <v>18.2</v>
      </c>
      <c r="AA134" s="56">
        <v>18.266666666666669</v>
      </c>
      <c r="AB134" s="56">
        <v>18.266666666666669</v>
      </c>
      <c r="AC134" s="56">
        <v>17</v>
      </c>
      <c r="AD134" s="56">
        <v>17.600000000000001</v>
      </c>
      <c r="AE134" s="56">
        <v>18.13333333333334</v>
      </c>
      <c r="AF134" s="56">
        <v>18.2</v>
      </c>
      <c r="AG134" s="56">
        <v>17.866666666666671</v>
      </c>
      <c r="AH134" s="56">
        <v>16.333333333333329</v>
      </c>
      <c r="AI134" s="56">
        <v>17.8</v>
      </c>
      <c r="AJ134" s="56"/>
      <c r="AK134" s="56"/>
      <c r="AL134" s="56"/>
      <c r="AM134" s="56"/>
      <c r="AN134" s="56"/>
      <c r="AO134" s="56"/>
      <c r="AP134" s="58">
        <f t="shared" si="6"/>
        <v>25</v>
      </c>
      <c r="AQ134" s="71">
        <f t="shared" si="7"/>
        <v>17.887999999999998</v>
      </c>
      <c r="AR134" s="71">
        <f>IFERROR(VLOOKUP(A134,Climatologia_TMED!A:U,9+$E$2,FALSE),"")</f>
        <v>15.582178842383669</v>
      </c>
      <c r="AS134" s="71">
        <f t="shared" si="8"/>
        <v>2.3058211576163288</v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20.05</v>
      </c>
      <c r="L135" s="56">
        <v>20.95</v>
      </c>
      <c r="M135" s="56">
        <v>19.399999999999999</v>
      </c>
      <c r="N135" s="56">
        <v>19.100000000000001</v>
      </c>
      <c r="O135" s="56">
        <v>21.8</v>
      </c>
      <c r="P135" s="56">
        <v>21.9</v>
      </c>
      <c r="Q135" s="56">
        <v>22.65</v>
      </c>
      <c r="R135" s="56">
        <v>21.7</v>
      </c>
      <c r="S135" s="56">
        <v>21.65</v>
      </c>
      <c r="T135" s="56">
        <v>22.3</v>
      </c>
      <c r="U135" s="56">
        <v>20.45</v>
      </c>
      <c r="V135" s="56">
        <v>19.649999999999999</v>
      </c>
      <c r="W135" s="56">
        <v>19.7</v>
      </c>
      <c r="X135" s="56">
        <v>22.4</v>
      </c>
      <c r="Y135" s="56">
        <v>22.55</v>
      </c>
      <c r="Z135" s="56">
        <v>22.3</v>
      </c>
      <c r="AA135" s="56">
        <v>23</v>
      </c>
      <c r="AB135" s="56">
        <v>19.55</v>
      </c>
      <c r="AC135" s="56">
        <v>18.25</v>
      </c>
      <c r="AD135" s="56">
        <v>18.05</v>
      </c>
      <c r="AE135" s="56">
        <v>20</v>
      </c>
      <c r="AF135" s="56">
        <v>19.2</v>
      </c>
      <c r="AG135" s="56">
        <v>19.399999999999999</v>
      </c>
      <c r="AH135" s="56">
        <v>19.350000000000001</v>
      </c>
      <c r="AI135" s="56">
        <v>22.05</v>
      </c>
      <c r="AJ135" s="56"/>
      <c r="AK135" s="56"/>
      <c r="AL135" s="56"/>
      <c r="AM135" s="56"/>
      <c r="AN135" s="56"/>
      <c r="AO135" s="56"/>
      <c r="AP135" s="58">
        <f t="shared" si="6"/>
        <v>25</v>
      </c>
      <c r="AQ135" s="71">
        <f t="shared" si="7"/>
        <v>20.695999999999998</v>
      </c>
      <c r="AR135" s="71">
        <f>IFERROR(VLOOKUP(A135,Climatologia_TMED!A:U,9+$E$2,FALSE),"")</f>
        <v>18.681880637405129</v>
      </c>
      <c r="AS135" s="71">
        <f t="shared" si="8"/>
        <v>2.0141193625948688</v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11.4</v>
      </c>
      <c r="L136" s="56">
        <v>10.733333333333331</v>
      </c>
      <c r="M136" s="56">
        <v>10.33333333333333</v>
      </c>
      <c r="N136" s="56">
        <v>10.6</v>
      </c>
      <c r="O136" s="56">
        <v>10.53333333333333</v>
      </c>
      <c r="P136" s="56">
        <v>10.866666666666671</v>
      </c>
      <c r="Q136" s="56">
        <v>11.06666666666667</v>
      </c>
      <c r="R136" s="56">
        <v>11.2</v>
      </c>
      <c r="S136" s="56">
        <v>11.53333333333333</v>
      </c>
      <c r="T136" s="56">
        <v>11.6</v>
      </c>
      <c r="U136" s="56">
        <v>12.133333333333329</v>
      </c>
      <c r="V136" s="56">
        <v>10.866666666666671</v>
      </c>
      <c r="W136" s="56">
        <v>10.46666666666667</v>
      </c>
      <c r="X136" s="56">
        <v>10.93333333333333</v>
      </c>
      <c r="Y136" s="56">
        <v>10.6</v>
      </c>
      <c r="Z136" s="56">
        <v>10.6</v>
      </c>
      <c r="AA136" s="56">
        <v>11.46666666666667</v>
      </c>
      <c r="AB136" s="56">
        <v>11.6</v>
      </c>
      <c r="AC136" s="56">
        <v>12</v>
      </c>
      <c r="AD136" s="56">
        <v>12.53333333333333</v>
      </c>
      <c r="AE136" s="56">
        <v>11.866666666666671</v>
      </c>
      <c r="AF136" s="56">
        <v>11.733333333333331</v>
      </c>
      <c r="AG136" s="56">
        <v>11.4</v>
      </c>
      <c r="AH136" s="56">
        <v>10.4</v>
      </c>
      <c r="AI136" s="56">
        <v>10.53333333333333</v>
      </c>
      <c r="AJ136" s="56"/>
      <c r="AK136" s="56"/>
      <c r="AL136" s="56"/>
      <c r="AM136" s="56"/>
      <c r="AN136" s="56"/>
      <c r="AO136" s="56"/>
      <c r="AP136" s="58">
        <f t="shared" si="6"/>
        <v>25</v>
      </c>
      <c r="AQ136" s="71">
        <f t="shared" si="7"/>
        <v>11.159999999999995</v>
      </c>
      <c r="AR136" s="71">
        <f>IFERROR(VLOOKUP(A136,Climatologia_TMED!A:U,9+$E$2,FALSE),"")</f>
        <v>10.85765007415646</v>
      </c>
      <c r="AS136" s="71">
        <f t="shared" si="8"/>
        <v>0.30234992584353471</v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20.789800216354749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22.06666666666667</v>
      </c>
      <c r="L138" s="56">
        <v>21.466666666666669</v>
      </c>
      <c r="M138" s="56">
        <v>21</v>
      </c>
      <c r="N138" s="56">
        <v>21.8</v>
      </c>
      <c r="O138" s="56">
        <v>22.13333333333334</v>
      </c>
      <c r="P138" s="56">
        <v>22.533333333333331</v>
      </c>
      <c r="Q138" s="56">
        <v>23.733333333333331</v>
      </c>
      <c r="R138" s="56">
        <v>22.933333333333341</v>
      </c>
      <c r="S138" s="56">
        <v>21.266666666666669</v>
      </c>
      <c r="T138" s="56">
        <v>23.4</v>
      </c>
      <c r="U138" s="56">
        <v>22.666666666666671</v>
      </c>
      <c r="V138" s="56">
        <v>21.266666666666669</v>
      </c>
      <c r="W138" s="56">
        <v>21.533333333333331</v>
      </c>
      <c r="X138" s="56">
        <v>22.8</v>
      </c>
      <c r="Y138" s="56">
        <v>23.06666666666667</v>
      </c>
      <c r="Z138" s="56">
        <v>22.466666666666669</v>
      </c>
      <c r="AA138" s="56">
        <v>23.466666666666669</v>
      </c>
      <c r="AB138" s="56">
        <v>22.6</v>
      </c>
      <c r="AC138" s="56">
        <v>21.2</v>
      </c>
      <c r="AD138" s="56">
        <v>20.866666666666671</v>
      </c>
      <c r="AE138" s="56">
        <v>24.2</v>
      </c>
      <c r="AF138" s="56">
        <v>22.666666666666671</v>
      </c>
      <c r="AG138" s="56">
        <v>21.333333333333329</v>
      </c>
      <c r="AH138" s="56">
        <v>20.733333333333331</v>
      </c>
      <c r="AI138" s="56">
        <v>22.4</v>
      </c>
      <c r="AJ138" s="56"/>
      <c r="AK138" s="56"/>
      <c r="AL138" s="56"/>
      <c r="AM138" s="56"/>
      <c r="AN138" s="56"/>
      <c r="AO138" s="56"/>
      <c r="AP138" s="58">
        <f t="shared" si="6"/>
        <v>25</v>
      </c>
      <c r="AQ138" s="71">
        <f t="shared" si="7"/>
        <v>22.224</v>
      </c>
      <c r="AR138" s="71">
        <f>IFERROR(VLOOKUP(A138,Climatologia_TMED!A:U,9+$E$2,FALSE),"")</f>
        <v>20.010221097348399</v>
      </c>
      <c r="AS138" s="71">
        <f t="shared" si="8"/>
        <v>2.213778902651601</v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14.074999999999999</v>
      </c>
      <c r="L139" s="56">
        <v>13.8</v>
      </c>
      <c r="M139" s="56">
        <v>13.1</v>
      </c>
      <c r="N139" s="56">
        <v>13.475</v>
      </c>
      <c r="O139" s="56">
        <v>14.05</v>
      </c>
      <c r="P139" s="56">
        <v>14.675000000000001</v>
      </c>
      <c r="Q139" s="56">
        <v>15.074999999999999</v>
      </c>
      <c r="R139" s="56">
        <v>14.55</v>
      </c>
      <c r="S139" s="56">
        <v>14.775</v>
      </c>
      <c r="T139" s="56">
        <v>13.85</v>
      </c>
      <c r="U139" s="56">
        <v>13.3</v>
      </c>
      <c r="V139" s="56">
        <v>12.775</v>
      </c>
      <c r="W139" s="56">
        <v>13.95</v>
      </c>
      <c r="X139" s="56">
        <v>14.425000000000001</v>
      </c>
      <c r="Y139" s="56">
        <v>14.675000000000001</v>
      </c>
      <c r="Z139" s="56">
        <v>15.074999999999999</v>
      </c>
      <c r="AA139" s="56">
        <v>14.275</v>
      </c>
      <c r="AB139" s="56">
        <v>13.824999999999999</v>
      </c>
      <c r="AC139" s="56">
        <v>13.45</v>
      </c>
      <c r="AD139" s="56">
        <v>13.9</v>
      </c>
      <c r="AE139" s="56">
        <v>14.525</v>
      </c>
      <c r="AF139" s="56">
        <v>14.15</v>
      </c>
      <c r="AG139" s="56">
        <v>13.75</v>
      </c>
      <c r="AH139" s="56">
        <v>12.7</v>
      </c>
      <c r="AI139" s="56"/>
      <c r="AJ139" s="56"/>
      <c r="AK139" s="56"/>
      <c r="AL139" s="56"/>
      <c r="AM139" s="56"/>
      <c r="AN139" s="56"/>
      <c r="AO139" s="56"/>
      <c r="AP139" s="58">
        <f t="shared" si="6"/>
        <v>24</v>
      </c>
      <c r="AQ139" s="71">
        <f t="shared" si="7"/>
        <v>14.008333333333331</v>
      </c>
      <c r="AR139" s="71">
        <f>IFERROR(VLOOKUP(A139,Climatologia_TMED!A:U,9+$E$2,FALSE),"")</f>
        <v>12.904217772834009</v>
      </c>
      <c r="AS139" s="71">
        <f t="shared" si="8"/>
        <v>1.1041155604993218</v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17.55</v>
      </c>
      <c r="L140" s="56">
        <v>16.100000000000001</v>
      </c>
      <c r="M140" s="56">
        <v>16.350000000000001</v>
      </c>
      <c r="N140" s="56">
        <v>16.850000000000001</v>
      </c>
      <c r="O140" s="56">
        <v>17.2</v>
      </c>
      <c r="P140" s="56">
        <v>16.95</v>
      </c>
      <c r="Q140" s="56">
        <v>17.2</v>
      </c>
      <c r="R140" s="56">
        <v>16.850000000000001</v>
      </c>
      <c r="S140" s="56">
        <v>17.899999999999999</v>
      </c>
      <c r="T140" s="56">
        <v>16.8</v>
      </c>
      <c r="U140" s="56">
        <v>15.85</v>
      </c>
      <c r="V140" s="56">
        <v>16.25</v>
      </c>
      <c r="W140" s="56">
        <v>16.850000000000001</v>
      </c>
      <c r="X140" s="56">
        <v>16.3</v>
      </c>
      <c r="Y140" s="56">
        <v>17.350000000000001</v>
      </c>
      <c r="Z140" s="56">
        <v>17.350000000000001</v>
      </c>
      <c r="AA140" s="56">
        <v>16.649999999999999</v>
      </c>
      <c r="AB140" s="56">
        <v>15.7</v>
      </c>
      <c r="AC140" s="56">
        <v>15.05</v>
      </c>
      <c r="AD140" s="56">
        <v>15.2</v>
      </c>
      <c r="AE140" s="56">
        <v>15.4</v>
      </c>
      <c r="AF140" s="56">
        <v>15.95</v>
      </c>
      <c r="AG140" s="56">
        <v>16.100000000000001</v>
      </c>
      <c r="AH140" s="56">
        <v>15.75</v>
      </c>
      <c r="AI140" s="56">
        <v>15.6</v>
      </c>
      <c r="AJ140" s="56"/>
      <c r="AK140" s="56"/>
      <c r="AL140" s="56"/>
      <c r="AM140" s="56"/>
      <c r="AN140" s="56"/>
      <c r="AO140" s="56"/>
      <c r="AP140" s="58">
        <f t="shared" si="6"/>
        <v>25</v>
      </c>
      <c r="AQ140" s="71">
        <f t="shared" si="7"/>
        <v>16.444000000000003</v>
      </c>
      <c r="AR140" s="71">
        <f>IFERROR(VLOOKUP(A140,Climatologia_TMED!A:U,9+$E$2,FALSE),"")</f>
        <v>15.594350571769921</v>
      </c>
      <c r="AS140" s="71">
        <f t="shared" si="8"/>
        <v>0.84964942823008194</v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13.66666666666667</v>
      </c>
      <c r="L141" s="56">
        <v>13.33333333333333</v>
      </c>
      <c r="M141" s="56">
        <v>12.2</v>
      </c>
      <c r="N141" s="56">
        <v>12.93333333333333</v>
      </c>
      <c r="O141" s="56">
        <v>14.2</v>
      </c>
      <c r="P141" s="56">
        <v>13.33333333333333</v>
      </c>
      <c r="Q141" s="56">
        <v>14.46666666666667</v>
      </c>
      <c r="R141" s="56">
        <v>15</v>
      </c>
      <c r="S141" s="56">
        <v>14.66666666666667</v>
      </c>
      <c r="T141" s="56">
        <v>13.866666666666671</v>
      </c>
      <c r="U141" s="56">
        <v>12.733333333333331</v>
      </c>
      <c r="V141" s="56">
        <v>12.4</v>
      </c>
      <c r="W141" s="56">
        <v>13.266666666666669</v>
      </c>
      <c r="X141" s="56">
        <v>13.46666666666667</v>
      </c>
      <c r="Y141" s="56">
        <v>14.266666666666669</v>
      </c>
      <c r="Z141" s="56">
        <v>13.8</v>
      </c>
      <c r="AA141" s="56">
        <v>13.66666666666667</v>
      </c>
      <c r="AB141" s="56">
        <v>13.2</v>
      </c>
      <c r="AC141" s="56">
        <v>13.33333333333333</v>
      </c>
      <c r="AD141" s="56">
        <v>13.93333333333333</v>
      </c>
      <c r="AE141" s="56">
        <v>13.8</v>
      </c>
      <c r="AF141" s="56">
        <v>13.866666666666671</v>
      </c>
      <c r="AG141" s="56">
        <v>12.93333333333333</v>
      </c>
      <c r="AH141" s="56">
        <v>10.93333333333333</v>
      </c>
      <c r="AI141" s="56">
        <v>12.93333333333333</v>
      </c>
      <c r="AJ141" s="56"/>
      <c r="AK141" s="56"/>
      <c r="AL141" s="56"/>
      <c r="AM141" s="56"/>
      <c r="AN141" s="56"/>
      <c r="AO141" s="56"/>
      <c r="AP141" s="58">
        <f t="shared" si="6"/>
        <v>25</v>
      </c>
      <c r="AQ141" s="71">
        <f t="shared" si="7"/>
        <v>13.448000000000002</v>
      </c>
      <c r="AR141" s="71">
        <f>IFERROR(VLOOKUP(A141,Climatologia_TMED!A:U,9+$E$2,FALSE),"")</f>
        <v>12.014029396838049</v>
      </c>
      <c r="AS141" s="71">
        <f t="shared" si="8"/>
        <v>1.4339706031619528</v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/>
      <c r="L142" s="56">
        <v>11.35</v>
      </c>
      <c r="M142" s="56">
        <v>10.5</v>
      </c>
      <c r="N142" s="56">
        <v>11.8</v>
      </c>
      <c r="O142" s="56">
        <v>11.8</v>
      </c>
      <c r="P142" s="56">
        <v>12.15</v>
      </c>
      <c r="Q142" s="56">
        <v>12.8</v>
      </c>
      <c r="R142" s="56">
        <v>11.65</v>
      </c>
      <c r="S142" s="56">
        <v>13.3</v>
      </c>
      <c r="T142" s="56">
        <v>11.5</v>
      </c>
      <c r="U142" s="56">
        <v>11.4</v>
      </c>
      <c r="V142" s="56">
        <v>10.15</v>
      </c>
      <c r="W142" s="56">
        <v>10.9</v>
      </c>
      <c r="X142" s="56">
        <v>10.7</v>
      </c>
      <c r="Y142" s="56">
        <v>12.05</v>
      </c>
      <c r="Z142" s="56">
        <v>12.4</v>
      </c>
      <c r="AA142" s="56">
        <v>12.35</v>
      </c>
      <c r="AB142" s="56">
        <v>10.95</v>
      </c>
      <c r="AC142" s="56">
        <v>12.35</v>
      </c>
      <c r="AD142" s="56">
        <v>11.65</v>
      </c>
      <c r="AE142" s="56">
        <v>12.2</v>
      </c>
      <c r="AF142" s="56">
        <v>11.75</v>
      </c>
      <c r="AG142" s="56">
        <v>11.725</v>
      </c>
      <c r="AH142" s="56">
        <v>10.85</v>
      </c>
      <c r="AI142" s="56">
        <v>11.15</v>
      </c>
      <c r="AJ142" s="56"/>
      <c r="AK142" s="56"/>
      <c r="AL142" s="56"/>
      <c r="AM142" s="56"/>
      <c r="AN142" s="56"/>
      <c r="AO142" s="56"/>
      <c r="AP142" s="58">
        <f t="shared" si="6"/>
        <v>24</v>
      </c>
      <c r="AQ142" s="71">
        <f t="shared" si="7"/>
        <v>11.642708333333333</v>
      </c>
      <c r="AR142" s="71">
        <f>IFERROR(VLOOKUP(A142,Climatologia_TMED!A:U,9+$E$2,FALSE),"")</f>
        <v>10.528985976481801</v>
      </c>
      <c r="AS142" s="71">
        <f t="shared" si="8"/>
        <v>1.1137223568515324</v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</v>
      </c>
      <c r="L143" s="56">
        <v>26.86666666666666</v>
      </c>
      <c r="M143" s="56">
        <v>26.8</v>
      </c>
      <c r="N143" s="56">
        <v>27.4</v>
      </c>
      <c r="O143" s="56">
        <v>27.93333333333333</v>
      </c>
      <c r="P143" s="56">
        <v>28.6</v>
      </c>
      <c r="Q143" s="56">
        <v>28.666666666666671</v>
      </c>
      <c r="R143" s="56">
        <v>28.866666666666671</v>
      </c>
      <c r="S143" s="56">
        <v>27.733333333333331</v>
      </c>
      <c r="T143" s="56">
        <v>28.333333333333329</v>
      </c>
      <c r="U143" s="56">
        <v>27.8</v>
      </c>
      <c r="V143" s="56">
        <v>26</v>
      </c>
      <c r="W143" s="56">
        <v>27.466666666666669</v>
      </c>
      <c r="X143" s="56">
        <v>28.2</v>
      </c>
      <c r="Y143" s="56">
        <v>28.6</v>
      </c>
      <c r="Z143" s="56">
        <v>29.13333333333334</v>
      </c>
      <c r="AA143" s="56">
        <v>28.4</v>
      </c>
      <c r="AB143" s="56">
        <v>28</v>
      </c>
      <c r="AC143" s="56">
        <v>25.86666666666666</v>
      </c>
      <c r="AD143" s="56">
        <v>25.86666666666666</v>
      </c>
      <c r="AE143" s="56">
        <v>27.666666666666671</v>
      </c>
      <c r="AF143" s="56">
        <v>26.8</v>
      </c>
      <c r="AG143" s="56">
        <v>26.6</v>
      </c>
      <c r="AH143" s="56">
        <v>27.333333333333329</v>
      </c>
      <c r="AI143" s="56">
        <v>28.533333333333331</v>
      </c>
      <c r="AJ143" s="56"/>
      <c r="AK143" s="56"/>
      <c r="AL143" s="56"/>
      <c r="AM143" s="56"/>
      <c r="AN143" s="56"/>
      <c r="AO143" s="56"/>
      <c r="AP143" s="58">
        <f t="shared" si="6"/>
        <v>25</v>
      </c>
      <c r="AQ143" s="71">
        <f t="shared" si="7"/>
        <v>27.658666666666662</v>
      </c>
      <c r="AR143" s="71">
        <f>IFERROR(VLOOKUP(A143,Climatologia_TMED!A:U,9+$E$2,FALSE),"")</f>
        <v>25.861940092165881</v>
      </c>
      <c r="AS143" s="71">
        <f t="shared" si="8"/>
        <v>1.7967265745007808</v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15.733333333333331</v>
      </c>
      <c r="L144" s="56">
        <v>15.66666666666667</v>
      </c>
      <c r="M144" s="56">
        <v>15.93333333333333</v>
      </c>
      <c r="N144" s="56">
        <v>15.46666666666667</v>
      </c>
      <c r="O144" s="56">
        <v>15.6</v>
      </c>
      <c r="P144" s="56">
        <v>15.866666666666671</v>
      </c>
      <c r="Q144" s="56">
        <v>17.399999999999999</v>
      </c>
      <c r="R144" s="56">
        <v>16.399999999999999</v>
      </c>
      <c r="S144" s="56">
        <v>14.6</v>
      </c>
      <c r="T144" s="56">
        <v>15.33333333333333</v>
      </c>
      <c r="U144" s="56">
        <v>14.8</v>
      </c>
      <c r="V144" s="56">
        <v>14.66666666666667</v>
      </c>
      <c r="W144" s="56">
        <v>15.733333333333331</v>
      </c>
      <c r="X144" s="56">
        <v>15.46666666666667</v>
      </c>
      <c r="Y144" s="56">
        <v>16.13333333333334</v>
      </c>
      <c r="Z144" s="56">
        <v>14.8</v>
      </c>
      <c r="AA144" s="56">
        <v>16.600000000000001</v>
      </c>
      <c r="AB144" s="56">
        <v>14.93333333333333</v>
      </c>
      <c r="AC144" s="56">
        <v>15.53333333333333</v>
      </c>
      <c r="AD144" s="56">
        <v>15.8</v>
      </c>
      <c r="AE144" s="56">
        <v>15</v>
      </c>
      <c r="AF144" s="56">
        <v>16.266666666666669</v>
      </c>
      <c r="AG144" s="56">
        <v>15</v>
      </c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23</v>
      </c>
      <c r="AQ144" s="71">
        <f t="shared" si="7"/>
        <v>15.597101449275362</v>
      </c>
      <c r="AR144" s="71">
        <f>IFERROR(VLOOKUP(A144,Climatologia_TMED!A:U,9+$E$2,FALSE),"")</f>
        <v>15.712885753914289</v>
      </c>
      <c r="AS144" s="71">
        <f t="shared" si="8"/>
        <v>-0.11578430463892708</v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19.266666666666669</v>
      </c>
      <c r="L145" s="56">
        <v>19.133333333333329</v>
      </c>
      <c r="M145" s="56">
        <v>19.06666666666667</v>
      </c>
      <c r="N145" s="56">
        <v>19</v>
      </c>
      <c r="O145" s="56">
        <v>21</v>
      </c>
      <c r="P145" s="56">
        <v>19.93333333333333</v>
      </c>
      <c r="Q145" s="56">
        <v>21.2</v>
      </c>
      <c r="R145" s="56">
        <v>21.6</v>
      </c>
      <c r="S145" s="56">
        <v>18.2</v>
      </c>
      <c r="T145" s="56">
        <v>18</v>
      </c>
      <c r="U145" s="56">
        <v>19.8</v>
      </c>
      <c r="V145" s="56">
        <v>17.399999999999999</v>
      </c>
      <c r="W145" s="56">
        <v>18.86666666666666</v>
      </c>
      <c r="X145" s="56">
        <v>17.93333333333333</v>
      </c>
      <c r="Y145" s="56">
        <v>20.2</v>
      </c>
      <c r="Z145" s="56">
        <v>19.266666666666669</v>
      </c>
      <c r="AA145" s="56">
        <v>19.533333333333331</v>
      </c>
      <c r="AB145" s="56">
        <v>19.06666666666667</v>
      </c>
      <c r="AC145" s="56">
        <v>20.466666666666669</v>
      </c>
      <c r="AD145" s="56">
        <v>18.666666666666671</v>
      </c>
      <c r="AE145" s="56">
        <v>19.666666666666671</v>
      </c>
      <c r="AF145" s="56">
        <v>20.8</v>
      </c>
      <c r="AG145" s="56">
        <v>19.13333333333334</v>
      </c>
      <c r="AH145" s="56">
        <v>20.266666666666669</v>
      </c>
      <c r="AI145" s="56">
        <v>19.333333333333329</v>
      </c>
      <c r="AJ145" s="56"/>
      <c r="AK145" s="56"/>
      <c r="AL145" s="56"/>
      <c r="AM145" s="56"/>
      <c r="AN145" s="56"/>
      <c r="AO145" s="56"/>
      <c r="AP145" s="58">
        <f t="shared" si="6"/>
        <v>25</v>
      </c>
      <c r="AQ145" s="71">
        <f t="shared" si="7"/>
        <v>19.471999999999998</v>
      </c>
      <c r="AR145" s="71">
        <f>IFERROR(VLOOKUP(A145,Climatologia_TMED!A:U,9+$E$2,FALSE),"")</f>
        <v>19.042016534498121</v>
      </c>
      <c r="AS145" s="71">
        <f t="shared" si="8"/>
        <v>0.42998346550187705</v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30.2</v>
      </c>
      <c r="L146" s="56">
        <v>28.333333333333329</v>
      </c>
      <c r="M146" s="56">
        <v>28.733333333333331</v>
      </c>
      <c r="N146" s="56">
        <v>28.4</v>
      </c>
      <c r="O146" s="56">
        <v>30.466666666666669</v>
      </c>
      <c r="P146" s="56">
        <v>30.733333333333331</v>
      </c>
      <c r="Q146" s="56">
        <v>31.13333333333334</v>
      </c>
      <c r="R146" s="56">
        <v>32.466666666666669</v>
      </c>
      <c r="S146" s="56">
        <v>28.333333333333329</v>
      </c>
      <c r="T146" s="56">
        <v>31.266666666666669</v>
      </c>
      <c r="U146" s="56">
        <v>30.666666666666671</v>
      </c>
      <c r="V146" s="56">
        <v>28</v>
      </c>
      <c r="W146" s="56">
        <v>31.333333333333329</v>
      </c>
      <c r="X146" s="56">
        <v>29.4</v>
      </c>
      <c r="Y146" s="56">
        <v>31.533333333333331</v>
      </c>
      <c r="Z146" s="56">
        <v>30.666666666666671</v>
      </c>
      <c r="AA146" s="56">
        <v>31.86666666666666</v>
      </c>
      <c r="AB146" s="56">
        <v>27.8</v>
      </c>
      <c r="AC146" s="56">
        <v>29.6</v>
      </c>
      <c r="AD146" s="56">
        <v>26.8</v>
      </c>
      <c r="AE146" s="56">
        <v>29.13333333333334</v>
      </c>
      <c r="AF146" s="56">
        <v>31.466666666666669</v>
      </c>
      <c r="AG146" s="56">
        <v>29.13333333333334</v>
      </c>
      <c r="AH146" s="56">
        <v>31</v>
      </c>
      <c r="AI146" s="56">
        <v>29.666666666666671</v>
      </c>
      <c r="AJ146" s="56"/>
      <c r="AK146" s="56"/>
      <c r="AL146" s="56"/>
      <c r="AM146" s="56"/>
      <c r="AN146" s="56"/>
      <c r="AO146" s="56"/>
      <c r="AP146" s="58">
        <f t="shared" si="6"/>
        <v>25</v>
      </c>
      <c r="AQ146" s="71">
        <f t="shared" si="7"/>
        <v>29.925333333333327</v>
      </c>
      <c r="AR146" s="71">
        <f>IFERROR(VLOOKUP(A146,Climatologia_TMED!A:U,9+$E$2,FALSE),"")</f>
        <v>28.757199537797231</v>
      </c>
      <c r="AS146" s="71">
        <f t="shared" si="8"/>
        <v>1.1681337955360966</v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25.93333333333333</v>
      </c>
      <c r="L147" s="56">
        <v>23.666666666666671</v>
      </c>
      <c r="M147" s="56">
        <v>24.133333333333329</v>
      </c>
      <c r="N147" s="56">
        <v>23.933333333333341</v>
      </c>
      <c r="O147" s="56">
        <v>26.466666666666669</v>
      </c>
      <c r="P147" s="56">
        <v>26</v>
      </c>
      <c r="Q147" s="56">
        <v>25.93333333333333</v>
      </c>
      <c r="R147" s="56">
        <v>27</v>
      </c>
      <c r="S147" s="56">
        <v>22.4</v>
      </c>
      <c r="T147" s="56">
        <v>24.266666666666669</v>
      </c>
      <c r="U147" s="56">
        <v>25.666666666666671</v>
      </c>
      <c r="V147" s="56">
        <v>23.8</v>
      </c>
      <c r="W147" s="56">
        <v>25.8</v>
      </c>
      <c r="X147" s="56">
        <v>24.733333333333331</v>
      </c>
      <c r="Y147" s="56">
        <v>26</v>
      </c>
      <c r="Z147" s="56">
        <v>25.733333333333331</v>
      </c>
      <c r="AA147" s="56">
        <v>25.666666666666671</v>
      </c>
      <c r="AB147" s="56">
        <v>25.533333333333331</v>
      </c>
      <c r="AC147" s="56">
        <v>26.266666666666669</v>
      </c>
      <c r="AD147" s="56">
        <v>23.13333333333334</v>
      </c>
      <c r="AE147" s="56">
        <v>24.6</v>
      </c>
      <c r="AF147" s="56">
        <v>26.666666666666671</v>
      </c>
      <c r="AG147" s="56">
        <v>24.466666666666669</v>
      </c>
      <c r="AH147" s="56">
        <v>25.86666666666666</v>
      </c>
      <c r="AI147" s="56">
        <v>25.733333333333331</v>
      </c>
      <c r="AJ147" s="56"/>
      <c r="AK147" s="56"/>
      <c r="AL147" s="56"/>
      <c r="AM147" s="56"/>
      <c r="AN147" s="56"/>
      <c r="AO147" s="56"/>
      <c r="AP147" s="58">
        <f t="shared" si="6"/>
        <v>25</v>
      </c>
      <c r="AQ147" s="71">
        <f t="shared" si="7"/>
        <v>25.176000000000002</v>
      </c>
      <c r="AR147" s="71">
        <f>IFERROR(VLOOKUP(A147,Climatologia_TMED!A:U,9+$E$2,FALSE),"")</f>
        <v>23.50405749186336</v>
      </c>
      <c r="AS147" s="71">
        <f t="shared" si="8"/>
        <v>1.6719425081366417</v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31.733333333333331</v>
      </c>
      <c r="L148" s="56">
        <v>31.333333333333329</v>
      </c>
      <c r="M148" s="56">
        <v>29.6</v>
      </c>
      <c r="N148" s="56">
        <v>30.333333333333329</v>
      </c>
      <c r="O148" s="56"/>
      <c r="P148" s="56">
        <v>30.8</v>
      </c>
      <c r="Q148" s="56">
        <v>31.13333333333334</v>
      </c>
      <c r="R148" s="56">
        <v>32.4</v>
      </c>
      <c r="S148" s="56">
        <v>27.93333333333333</v>
      </c>
      <c r="T148" s="56">
        <v>29.8</v>
      </c>
      <c r="U148" s="56">
        <v>29.86666666666666</v>
      </c>
      <c r="V148" s="56">
        <v>30.466666666666669</v>
      </c>
      <c r="W148" s="56">
        <v>30.13333333333334</v>
      </c>
      <c r="X148" s="56">
        <v>32.200000000000003</v>
      </c>
      <c r="Y148" s="56">
        <v>31.266666666666669</v>
      </c>
      <c r="Z148" s="56"/>
      <c r="AA148" s="56">
        <v>31.4</v>
      </c>
      <c r="AB148" s="56">
        <v>29.533333333333331</v>
      </c>
      <c r="AC148" s="56">
        <v>29.2</v>
      </c>
      <c r="AD148" s="56">
        <v>29.06666666666667</v>
      </c>
      <c r="AE148" s="56">
        <v>29.266666666666669</v>
      </c>
      <c r="AF148" s="56">
        <v>30</v>
      </c>
      <c r="AG148" s="56">
        <v>28.666666666666671</v>
      </c>
      <c r="AH148" s="56">
        <v>31.43333333333333</v>
      </c>
      <c r="AI148" s="56">
        <v>30</v>
      </c>
      <c r="AJ148" s="56"/>
      <c r="AK148" s="56"/>
      <c r="AL148" s="56"/>
      <c r="AM148" s="56"/>
      <c r="AN148" s="56"/>
      <c r="AO148" s="56"/>
      <c r="AP148" s="58">
        <f t="shared" si="6"/>
        <v>23</v>
      </c>
      <c r="AQ148" s="71">
        <f t="shared" si="7"/>
        <v>30.328985507246376</v>
      </c>
      <c r="AR148" s="71">
        <f>IFERROR(VLOOKUP(A148,Climatologia_TMED!A:U,9+$E$2,FALSE),"")</f>
        <v>28.641531230854781</v>
      </c>
      <c r="AS148" s="71">
        <f t="shared" si="8"/>
        <v>1.6874542763915947</v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24.4</v>
      </c>
      <c r="M149" s="56">
        <v>22.2</v>
      </c>
      <c r="N149" s="56">
        <v>22.93333333333333</v>
      </c>
      <c r="O149" s="56">
        <v>24.86666666666666</v>
      </c>
      <c r="P149" s="56">
        <v>23.266666666666669</v>
      </c>
      <c r="Q149" s="56">
        <v>24.8</v>
      </c>
      <c r="R149" s="56">
        <v>24.2</v>
      </c>
      <c r="S149" s="56">
        <v>22.533333333333331</v>
      </c>
      <c r="T149" s="56">
        <v>22.733333333333331</v>
      </c>
      <c r="U149" s="56">
        <v>22.93333333333333</v>
      </c>
      <c r="V149" s="56">
        <v>23.333333333333329</v>
      </c>
      <c r="W149" s="56">
        <v>22.86666666666666</v>
      </c>
      <c r="X149" s="56">
        <v>24.133333333333329</v>
      </c>
      <c r="Y149" s="56">
        <v>24.6</v>
      </c>
      <c r="Z149" s="56">
        <v>24.93333333333333</v>
      </c>
      <c r="AA149" s="56">
        <v>25.733333333333331</v>
      </c>
      <c r="AB149" s="56">
        <v>23.666666666666671</v>
      </c>
      <c r="AC149" s="56">
        <v>23.266666666666669</v>
      </c>
      <c r="AD149" s="56">
        <v>22.06666666666667</v>
      </c>
      <c r="AE149" s="56">
        <v>23.733333333333331</v>
      </c>
      <c r="AF149" s="56">
        <v>23.13333333333334</v>
      </c>
      <c r="AG149" s="56">
        <v>21.333333333333329</v>
      </c>
      <c r="AH149" s="56">
        <v>24.266666666666669</v>
      </c>
      <c r="AI149" s="56">
        <v>23.066666666666659</v>
      </c>
      <c r="AJ149" s="56"/>
      <c r="AK149" s="56"/>
      <c r="AL149" s="56"/>
      <c r="AM149" s="56"/>
      <c r="AN149" s="56"/>
      <c r="AO149" s="56"/>
      <c r="AP149" s="58">
        <f t="shared" si="6"/>
        <v>25</v>
      </c>
      <c r="AQ149" s="71">
        <f t="shared" si="7"/>
        <v>23.570666666666668</v>
      </c>
      <c r="AR149" s="71">
        <f>IFERROR(VLOOKUP(A149,Climatologia_TMED!A:U,9+$E$2,FALSE),"")</f>
        <v>21.876067772952851</v>
      </c>
      <c r="AS149" s="71">
        <f t="shared" si="8"/>
        <v>1.6945988937138168</v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22.337755574177319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24.8</v>
      </c>
      <c r="L151" s="56">
        <v>24.4</v>
      </c>
      <c r="M151" s="56">
        <v>22.533333333333331</v>
      </c>
      <c r="N151" s="56">
        <v>22</v>
      </c>
      <c r="O151" s="56">
        <v>23.666666666666671</v>
      </c>
      <c r="P151" s="56">
        <v>23.86666666666666</v>
      </c>
      <c r="Q151" s="56">
        <v>25.06666666666667</v>
      </c>
      <c r="R151" s="56">
        <v>24.866666666666671</v>
      </c>
      <c r="S151" s="56">
        <v>23.533333333333331</v>
      </c>
      <c r="T151" s="56">
        <v>22.266666666666669</v>
      </c>
      <c r="U151" s="56">
        <v>20.966666666666669</v>
      </c>
      <c r="V151" s="56">
        <v>22.266666666666669</v>
      </c>
      <c r="W151" s="56">
        <v>24.6</v>
      </c>
      <c r="X151" s="56">
        <v>23.4</v>
      </c>
      <c r="Y151" s="56">
        <v>24.933333333333341</v>
      </c>
      <c r="Z151" s="56">
        <v>23</v>
      </c>
      <c r="AA151" s="56">
        <v>24.266666666666669</v>
      </c>
      <c r="AB151" s="56">
        <v>23.333333333333329</v>
      </c>
      <c r="AC151" s="56">
        <v>23.4</v>
      </c>
      <c r="AD151" s="56">
        <v>21.733333333333331</v>
      </c>
      <c r="AE151" s="56">
        <v>23.333333333333329</v>
      </c>
      <c r="AF151" s="56">
        <v>23.2</v>
      </c>
      <c r="AG151" s="56">
        <v>20</v>
      </c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23</v>
      </c>
      <c r="AQ151" s="71">
        <f t="shared" si="7"/>
        <v>23.279710144927535</v>
      </c>
      <c r="AR151" s="71">
        <f>IFERROR(VLOOKUP(A151,Climatologia_TMED!A:U,9+$E$2,FALSE),"")</f>
        <v>21.81258727862064</v>
      </c>
      <c r="AS151" s="71">
        <f t="shared" si="8"/>
        <v>1.4671228663068945</v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22.24150811117061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29.100200457886739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21.6</v>
      </c>
      <c r="L154" s="56">
        <v>20.45</v>
      </c>
      <c r="M154" s="56">
        <v>20.85</v>
      </c>
      <c r="N154" s="56">
        <v>19.899999999999999</v>
      </c>
      <c r="O154" s="56">
        <v>19.850000000000001</v>
      </c>
      <c r="P154" s="56">
        <v>21.15</v>
      </c>
      <c r="Q154" s="56">
        <v>21.9</v>
      </c>
      <c r="R154" s="56">
        <v>21.6</v>
      </c>
      <c r="S154" s="56">
        <v>18.899999999999999</v>
      </c>
      <c r="T154" s="56">
        <v>20.350000000000001</v>
      </c>
      <c r="U154" s="56">
        <v>20.350000000000001</v>
      </c>
      <c r="V154" s="56">
        <v>19.850000000000001</v>
      </c>
      <c r="W154" s="56">
        <v>20.55</v>
      </c>
      <c r="X154" s="56">
        <v>21.25</v>
      </c>
      <c r="Y154" s="56">
        <v>21.05</v>
      </c>
      <c r="Z154" s="56">
        <v>21.4</v>
      </c>
      <c r="AA154" s="56">
        <v>21.85</v>
      </c>
      <c r="AB154" s="56">
        <v>19.95</v>
      </c>
      <c r="AC154" s="56">
        <v>19.05</v>
      </c>
      <c r="AD154" s="56">
        <v>19.600000000000001</v>
      </c>
      <c r="AE154" s="56">
        <v>20.350000000000001</v>
      </c>
      <c r="AF154" s="56">
        <v>20</v>
      </c>
      <c r="AG154" s="56">
        <v>19.899999999999999</v>
      </c>
      <c r="AH154" s="56">
        <v>19.649999999999999</v>
      </c>
      <c r="AI154" s="56">
        <v>20.2</v>
      </c>
      <c r="AJ154" s="56"/>
      <c r="AK154" s="56"/>
      <c r="AL154" s="56"/>
      <c r="AM154" s="56"/>
      <c r="AN154" s="56"/>
      <c r="AO154" s="56"/>
      <c r="AP154" s="58">
        <f t="shared" si="6"/>
        <v>25</v>
      </c>
      <c r="AQ154" s="71">
        <f t="shared" si="7"/>
        <v>20.462</v>
      </c>
      <c r="AR154" s="71">
        <f>IFERROR(VLOOKUP(A154,Climatologia_TMED!A:U,9+$E$2,FALSE),"")</f>
        <v>19.513620754394939</v>
      </c>
      <c r="AS154" s="71">
        <f t="shared" si="8"/>
        <v>0.94837924560506082</v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>
        <v>29.13333333333334</v>
      </c>
      <c r="L155" s="56">
        <v>27.466666666666669</v>
      </c>
      <c r="M155" s="56">
        <v>28.93333333333333</v>
      </c>
      <c r="N155" s="56">
        <v>26.533333333333331</v>
      </c>
      <c r="O155" s="56">
        <v>27.8</v>
      </c>
      <c r="P155" s="56">
        <v>29.86666666666666</v>
      </c>
      <c r="Q155" s="56">
        <v>30.4</v>
      </c>
      <c r="R155" s="56">
        <v>29.466666666666669</v>
      </c>
      <c r="S155" s="56">
        <v>25.8</v>
      </c>
      <c r="T155" s="56">
        <v>29.4</v>
      </c>
      <c r="U155" s="56">
        <v>29.533333333333331</v>
      </c>
      <c r="V155" s="56">
        <v>27.666666666666671</v>
      </c>
      <c r="W155" s="56">
        <v>29.4</v>
      </c>
      <c r="X155" s="56">
        <v>30.06666666666667</v>
      </c>
      <c r="Y155" s="56">
        <v>30.666666666666671</v>
      </c>
      <c r="Z155" s="56">
        <v>31.466666666666669</v>
      </c>
      <c r="AA155" s="56">
        <v>31.8</v>
      </c>
      <c r="AB155" s="56">
        <v>29.466666666666669</v>
      </c>
      <c r="AC155" s="56">
        <v>28.8</v>
      </c>
      <c r="AD155" s="56">
        <v>29.86666666666666</v>
      </c>
      <c r="AE155" s="56">
        <v>27.2</v>
      </c>
      <c r="AF155" s="56">
        <v>28.466666666666669</v>
      </c>
      <c r="AG155" s="56">
        <v>27.666666666666671</v>
      </c>
      <c r="AH155" s="56">
        <v>27.666666666666671</v>
      </c>
      <c r="AI155" s="56">
        <v>28.4</v>
      </c>
      <c r="AJ155" s="56"/>
      <c r="AK155" s="56"/>
      <c r="AL155" s="56"/>
      <c r="AM155" s="56"/>
      <c r="AN155" s="56"/>
      <c r="AO155" s="56"/>
      <c r="AP155" s="58">
        <f t="shared" si="6"/>
        <v>25</v>
      </c>
      <c r="AQ155" s="71">
        <f t="shared" si="7"/>
        <v>28.917333333333332</v>
      </c>
      <c r="AR155" s="71">
        <f>IFERROR(VLOOKUP(A155,Climatologia_TMED!A:U,9+$E$2,FALSE),"")</f>
        <v>27.722786560855798</v>
      </c>
      <c r="AS155" s="71">
        <f t="shared" si="8"/>
        <v>1.1945467724775334</v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24.71559228916573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28.93333333333333</v>
      </c>
      <c r="L157" s="56">
        <v>28.13333333333334</v>
      </c>
      <c r="M157" s="56">
        <v>29.466666666666669</v>
      </c>
      <c r="N157" s="56"/>
      <c r="O157" s="56">
        <v>29.06666666666667</v>
      </c>
      <c r="P157" s="56">
        <v>29.733333333333331</v>
      </c>
      <c r="Q157" s="56">
        <v>31.8</v>
      </c>
      <c r="R157" s="56">
        <v>32</v>
      </c>
      <c r="S157" s="56">
        <v>27.666666666666671</v>
      </c>
      <c r="T157" s="56"/>
      <c r="U157" s="56">
        <v>29.733333333333331</v>
      </c>
      <c r="V157" s="56"/>
      <c r="W157" s="56">
        <v>28.6</v>
      </c>
      <c r="X157" s="56">
        <v>29.6</v>
      </c>
      <c r="Y157" s="56">
        <v>31.333333333333329</v>
      </c>
      <c r="Z157" s="56">
        <v>31.866666666666671</v>
      </c>
      <c r="AA157" s="56">
        <v>31.733333333333331</v>
      </c>
      <c r="AB157" s="56"/>
      <c r="AC157" s="56">
        <v>28.06666666666667</v>
      </c>
      <c r="AD157" s="56">
        <v>28.06666666666667</v>
      </c>
      <c r="AE157" s="56">
        <v>26.533333333333331</v>
      </c>
      <c r="AF157" s="56">
        <v>29.2</v>
      </c>
      <c r="AG157" s="56">
        <v>27.6</v>
      </c>
      <c r="AH157" s="56">
        <v>28.266666666666669</v>
      </c>
      <c r="AI157" s="56">
        <v>30.2</v>
      </c>
      <c r="AJ157" s="56"/>
      <c r="AK157" s="56"/>
      <c r="AL157" s="56"/>
      <c r="AM157" s="56"/>
      <c r="AN157" s="56"/>
      <c r="AO157" s="56"/>
      <c r="AP157" s="58">
        <f t="shared" si="6"/>
        <v>21</v>
      </c>
      <c r="AQ157" s="71">
        <f t="shared" si="7"/>
        <v>29.409523809523815</v>
      </c>
      <c r="AR157" s="71">
        <f>IFERROR(VLOOKUP(A157,Climatologia_TMED!A:U,9+$E$2,FALSE),"")</f>
        <v>27.584427496609401</v>
      </c>
      <c r="AS157" s="71">
        <f t="shared" si="8"/>
        <v>1.8250963129144147</v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31.06666666666667</v>
      </c>
      <c r="L158" s="56">
        <v>29.8</v>
      </c>
      <c r="M158" s="56">
        <v>28.6</v>
      </c>
      <c r="N158" s="56"/>
      <c r="O158" s="56">
        <v>30.333333333333329</v>
      </c>
      <c r="P158" s="56">
        <v>31.266666666666669</v>
      </c>
      <c r="Q158" s="56">
        <v>31.266666666666669</v>
      </c>
      <c r="R158" s="56">
        <v>32.06666666666667</v>
      </c>
      <c r="S158" s="56">
        <v>26.06666666666667</v>
      </c>
      <c r="T158" s="56">
        <v>29.86666666666666</v>
      </c>
      <c r="U158" s="56"/>
      <c r="V158" s="56">
        <v>28.86666666666666</v>
      </c>
      <c r="W158" s="56">
        <v>30</v>
      </c>
      <c r="X158" s="56">
        <v>31.466666666666669</v>
      </c>
      <c r="Y158" s="56">
        <v>31.266666666666669</v>
      </c>
      <c r="Z158" s="56">
        <v>32.266666666666673</v>
      </c>
      <c r="AA158" s="56">
        <v>31.86666666666666</v>
      </c>
      <c r="AB158" s="56">
        <v>30.86666666666666</v>
      </c>
      <c r="AC158" s="56">
        <v>29.933333333333341</v>
      </c>
      <c r="AD158" s="56">
        <v>29.266666666666669</v>
      </c>
      <c r="AE158" s="56">
        <v>28.06666666666667</v>
      </c>
      <c r="AF158" s="56"/>
      <c r="AG158" s="56">
        <v>26.933333333333341</v>
      </c>
      <c r="AH158" s="56">
        <v>29.86666666666666</v>
      </c>
      <c r="AI158" s="56">
        <v>29.86666666666666</v>
      </c>
      <c r="AJ158" s="56"/>
      <c r="AK158" s="56"/>
      <c r="AL158" s="56"/>
      <c r="AM158" s="56"/>
      <c r="AN158" s="56"/>
      <c r="AO158" s="56"/>
      <c r="AP158" s="58">
        <f t="shared" si="6"/>
        <v>22</v>
      </c>
      <c r="AQ158" s="71">
        <f t="shared" si="7"/>
        <v>30.039393939393946</v>
      </c>
      <c r="AR158" s="71">
        <f>IFERROR(VLOOKUP(A158,Climatologia_TMED!A:U,9+$E$2,FALSE),"")</f>
        <v>28.0184121670802</v>
      </c>
      <c r="AS158" s="71">
        <f t="shared" si="8"/>
        <v>2.0209817723137462</v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/>
      <c r="L159" s="56"/>
      <c r="M159" s="56">
        <v>19</v>
      </c>
      <c r="N159" s="56">
        <v>19.266666666666669</v>
      </c>
      <c r="O159" s="56">
        <v>20.333333333333329</v>
      </c>
      <c r="P159" s="56">
        <v>20.8</v>
      </c>
      <c r="Q159" s="56">
        <v>21.6</v>
      </c>
      <c r="R159" s="56">
        <v>22.466666666666669</v>
      </c>
      <c r="S159" s="56">
        <v>18.666666666666671</v>
      </c>
      <c r="T159" s="56">
        <v>20.266666666666669</v>
      </c>
      <c r="U159" s="56">
        <v>19.93333333333333</v>
      </c>
      <c r="V159" s="56">
        <v>20.2</v>
      </c>
      <c r="W159" s="56">
        <v>20.266666666666669</v>
      </c>
      <c r="X159" s="56">
        <v>20.6</v>
      </c>
      <c r="Y159" s="56">
        <v>22.06666666666667</v>
      </c>
      <c r="Z159" s="56">
        <v>21.466666666666669</v>
      </c>
      <c r="AA159" s="56">
        <v>22.533333333333331</v>
      </c>
      <c r="AB159" s="56">
        <v>20.6</v>
      </c>
      <c r="AC159" s="56"/>
      <c r="AD159" s="56">
        <v>18.8</v>
      </c>
      <c r="AE159" s="56">
        <v>19.466666666666669</v>
      </c>
      <c r="AF159" s="56">
        <v>20.2</v>
      </c>
      <c r="AG159" s="56">
        <v>19.266666666666669</v>
      </c>
      <c r="AH159" s="56">
        <v>20</v>
      </c>
      <c r="AI159" s="56">
        <v>19.93333333333333</v>
      </c>
      <c r="AJ159" s="56"/>
      <c r="AK159" s="56"/>
      <c r="AL159" s="56"/>
      <c r="AM159" s="56"/>
      <c r="AN159" s="56"/>
      <c r="AO159" s="56"/>
      <c r="AP159" s="58">
        <f t="shared" si="6"/>
        <v>22</v>
      </c>
      <c r="AQ159" s="71">
        <f t="shared" si="7"/>
        <v>20.351515151515152</v>
      </c>
      <c r="AR159" s="71">
        <f>IFERROR(VLOOKUP(A159,Climatologia_TMED!A:U,9+$E$2,FALSE),"")</f>
        <v>18.9909371146904</v>
      </c>
      <c r="AS159" s="71">
        <f t="shared" si="8"/>
        <v>1.3605780368247515</v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26.733333333333331</v>
      </c>
      <c r="L160" s="56">
        <v>26.2</v>
      </c>
      <c r="M160" s="56">
        <v>25.93333333333333</v>
      </c>
      <c r="N160" s="56">
        <v>27</v>
      </c>
      <c r="O160" s="56">
        <v>28.133333333333329</v>
      </c>
      <c r="P160" s="56">
        <v>28.4</v>
      </c>
      <c r="Q160" s="56">
        <v>29.4</v>
      </c>
      <c r="R160" s="56">
        <v>28.266666666666669</v>
      </c>
      <c r="S160" s="56">
        <v>24.533333333333331</v>
      </c>
      <c r="T160" s="56">
        <v>27.466666666666669</v>
      </c>
      <c r="U160" s="56">
        <v>26.2</v>
      </c>
      <c r="V160" s="56">
        <v>25.6</v>
      </c>
      <c r="W160" s="56">
        <v>28</v>
      </c>
      <c r="X160" s="56">
        <v>27.2</v>
      </c>
      <c r="Y160" s="56">
        <v>27.466666666666669</v>
      </c>
      <c r="Z160" s="56">
        <v>28.733333333333331</v>
      </c>
      <c r="AA160" s="56">
        <v>28</v>
      </c>
      <c r="AB160" s="56">
        <v>28.06666666666667</v>
      </c>
      <c r="AC160" s="56">
        <v>26</v>
      </c>
      <c r="AD160" s="56">
        <v>25.6</v>
      </c>
      <c r="AE160" s="56">
        <v>25.6</v>
      </c>
      <c r="AF160" s="56">
        <v>27.266666666666669</v>
      </c>
      <c r="AG160" s="56">
        <v>25.6</v>
      </c>
      <c r="AH160" s="56"/>
      <c r="AI160" s="56">
        <v>27.333333333333329</v>
      </c>
      <c r="AJ160" s="56"/>
      <c r="AK160" s="56"/>
      <c r="AL160" s="56"/>
      <c r="AM160" s="56"/>
      <c r="AN160" s="56"/>
      <c r="AO160" s="56"/>
      <c r="AP160" s="58">
        <f t="shared" si="6"/>
        <v>24</v>
      </c>
      <c r="AQ160" s="71">
        <f t="shared" si="7"/>
        <v>27.030555555555566</v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/>
      <c r="L161" s="56"/>
      <c r="M161" s="56">
        <v>19.666666666666671</v>
      </c>
      <c r="N161" s="56"/>
      <c r="O161" s="56">
        <v>17.2</v>
      </c>
      <c r="P161" s="56"/>
      <c r="Q161" s="56">
        <v>19.733333333333331</v>
      </c>
      <c r="R161" s="56"/>
      <c r="S161" s="56">
        <v>17.93333333333333</v>
      </c>
      <c r="T161" s="56"/>
      <c r="U161" s="56"/>
      <c r="V161" s="56"/>
      <c r="W161" s="56">
        <v>19.600000000000001</v>
      </c>
      <c r="X161" s="56">
        <v>19.666666666666661</v>
      </c>
      <c r="Y161" s="56">
        <v>20.93333333333333</v>
      </c>
      <c r="Z161" s="56">
        <v>20.8</v>
      </c>
      <c r="AA161" s="56">
        <v>19.266666666666669</v>
      </c>
      <c r="AB161" s="56">
        <v>19.266666666666669</v>
      </c>
      <c r="AC161" s="56">
        <v>17.666666666666671</v>
      </c>
      <c r="AD161" s="56"/>
      <c r="AE161" s="56">
        <v>18.8</v>
      </c>
      <c r="AF161" s="56"/>
      <c r="AG161" s="56">
        <v>19.06666666666667</v>
      </c>
      <c r="AH161" s="56">
        <v>18.93333333333333</v>
      </c>
      <c r="AI161" s="56"/>
      <c r="AJ161" s="56"/>
      <c r="AK161" s="56"/>
      <c r="AL161" s="56"/>
      <c r="AM161" s="56"/>
      <c r="AN161" s="56"/>
      <c r="AO161" s="56"/>
      <c r="AP161" s="58">
        <f t="shared" si="6"/>
        <v>14</v>
      </c>
      <c r="AQ161" s="71" t="str">
        <f t="shared" si="7"/>
        <v/>
      </c>
      <c r="AR161" s="71">
        <f>IFERROR(VLOOKUP(A161,Climatologia_TMED!A:U,9+$E$2,FALSE),"")</f>
        <v>17.55988006564905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</v>
      </c>
      <c r="L162" s="56">
        <v>29.93333333333333</v>
      </c>
      <c r="M162" s="56">
        <v>29.86666666666666</v>
      </c>
      <c r="N162" s="56">
        <v>27.8</v>
      </c>
      <c r="O162" s="56">
        <v>29.06666666666667</v>
      </c>
      <c r="P162" s="56">
        <v>29.4</v>
      </c>
      <c r="Q162" s="56">
        <v>30.13333333333334</v>
      </c>
      <c r="R162" s="56">
        <v>30.13333333333334</v>
      </c>
      <c r="S162" s="56">
        <v>26.666666666666671</v>
      </c>
      <c r="T162" s="56">
        <v>28.266666666666669</v>
      </c>
      <c r="U162" s="56">
        <v>29.2</v>
      </c>
      <c r="V162" s="56">
        <v>27.733333333333331</v>
      </c>
      <c r="W162" s="56">
        <v>28.466666666666669</v>
      </c>
      <c r="X162" s="56">
        <v>30.06666666666667</v>
      </c>
      <c r="Y162" s="56">
        <v>29.466666666666669</v>
      </c>
      <c r="Z162" s="56">
        <v>30.466666666666669</v>
      </c>
      <c r="AA162" s="56">
        <v>29.6</v>
      </c>
      <c r="AB162" s="56">
        <v>29.06666666666667</v>
      </c>
      <c r="AC162" s="56">
        <v>29.333333333333329</v>
      </c>
      <c r="AD162" s="56">
        <v>27.06666666666667</v>
      </c>
      <c r="AE162" s="56">
        <v>28.266666666666669</v>
      </c>
      <c r="AF162" s="56">
        <v>28.933333333333341</v>
      </c>
      <c r="AG162" s="56">
        <v>27</v>
      </c>
      <c r="AH162" s="56">
        <v>28.666666666666671</v>
      </c>
      <c r="AI162" s="56">
        <v>29.333333333333329</v>
      </c>
      <c r="AJ162" s="56"/>
      <c r="AK162" s="56"/>
      <c r="AL162" s="56"/>
      <c r="AM162" s="56"/>
      <c r="AN162" s="56"/>
      <c r="AO162" s="56"/>
      <c r="AP162" s="58">
        <f t="shared" si="6"/>
        <v>25</v>
      </c>
      <c r="AQ162" s="71">
        <f t="shared" si="7"/>
        <v>28.94133333333334</v>
      </c>
      <c r="AR162" s="71">
        <f>IFERROR(VLOOKUP(A162,Climatologia_TMED!A:U,9+$E$2,FALSE),"")</f>
        <v>28.573537387874278</v>
      </c>
      <c r="AS162" s="71">
        <f t="shared" si="8"/>
        <v>0.36779594545906136</v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22.13333333333334</v>
      </c>
      <c r="L163" s="56">
        <v>22.266666666666669</v>
      </c>
      <c r="M163" s="56">
        <v>21.666666666666671</v>
      </c>
      <c r="N163" s="56">
        <v>21.333333333333329</v>
      </c>
      <c r="O163" s="56">
        <v>21.93333333333333</v>
      </c>
      <c r="P163" s="56">
        <v>21.2</v>
      </c>
      <c r="Q163" s="56">
        <v>22.333333333333329</v>
      </c>
      <c r="R163" s="56">
        <v>22.333333333333329</v>
      </c>
      <c r="S163" s="56">
        <v>19</v>
      </c>
      <c r="T163" s="56">
        <v>21.466666666666669</v>
      </c>
      <c r="U163" s="56">
        <v>21.133333333333329</v>
      </c>
      <c r="V163" s="56">
        <v>20.533333333333331</v>
      </c>
      <c r="W163" s="56">
        <v>21.466666666666669</v>
      </c>
      <c r="X163" s="56">
        <v>21.666666666666671</v>
      </c>
      <c r="Y163" s="56">
        <v>22.13333333333334</v>
      </c>
      <c r="Z163" s="56">
        <v>22</v>
      </c>
      <c r="AA163" s="56">
        <v>21.86666666666666</v>
      </c>
      <c r="AB163" s="56">
        <v>21.266666666666669</v>
      </c>
      <c r="AC163" s="56">
        <v>21.6</v>
      </c>
      <c r="AD163" s="56">
        <v>20.86666666666666</v>
      </c>
      <c r="AE163" s="56">
        <v>20.399999999999999</v>
      </c>
      <c r="AF163" s="56">
        <v>21.266666666666669</v>
      </c>
      <c r="AG163" s="56">
        <v>21.06666666666667</v>
      </c>
      <c r="AH163" s="56">
        <v>21.466666666666669</v>
      </c>
      <c r="AI163" s="56">
        <v>20.733333333333331</v>
      </c>
      <c r="AJ163" s="56"/>
      <c r="AK163" s="56"/>
      <c r="AL163" s="56"/>
      <c r="AM163" s="56"/>
      <c r="AN163" s="56"/>
      <c r="AO163" s="56"/>
      <c r="AP163" s="58">
        <f t="shared" si="6"/>
        <v>25</v>
      </c>
      <c r="AQ163" s="71">
        <f t="shared" si="7"/>
        <v>21.405333333333331</v>
      </c>
      <c r="AR163" s="71">
        <f>IFERROR(VLOOKUP(A163,Climatologia_TMED!A:U,9+$E$2,FALSE),"")</f>
        <v>21.249423815600579</v>
      </c>
      <c r="AS163" s="71">
        <f t="shared" si="8"/>
        <v>0.15590951773275208</v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25.85</v>
      </c>
      <c r="L164" s="56">
        <v>25.25</v>
      </c>
      <c r="M164" s="56">
        <v>25.1</v>
      </c>
      <c r="N164" s="56">
        <v>25.5</v>
      </c>
      <c r="O164" s="56">
        <v>25.45</v>
      </c>
      <c r="P164" s="56">
        <v>25.75</v>
      </c>
      <c r="Q164" s="56">
        <v>26.95</v>
      </c>
      <c r="R164" s="56">
        <v>26.65</v>
      </c>
      <c r="S164" s="56">
        <v>23.3</v>
      </c>
      <c r="T164" s="56">
        <v>24.9</v>
      </c>
      <c r="U164" s="56">
        <v>24.8</v>
      </c>
      <c r="V164" s="56">
        <v>24.35</v>
      </c>
      <c r="W164" s="56">
        <v>25.35</v>
      </c>
      <c r="X164" s="56">
        <v>25.8</v>
      </c>
      <c r="Y164" s="56">
        <v>26.3</v>
      </c>
      <c r="Z164" s="56">
        <v>25.9</v>
      </c>
      <c r="AA164" s="56">
        <v>26.35</v>
      </c>
      <c r="AB164" s="56">
        <v>25.75</v>
      </c>
      <c r="AC164" s="56">
        <v>25.95</v>
      </c>
      <c r="AD164" s="56">
        <v>24.85</v>
      </c>
      <c r="AE164" s="56">
        <v>23.1</v>
      </c>
      <c r="AF164" s="56">
        <v>26</v>
      </c>
      <c r="AG164" s="56">
        <v>25.15</v>
      </c>
      <c r="AH164" s="56">
        <v>25.25</v>
      </c>
      <c r="AI164" s="56">
        <v>25.35</v>
      </c>
      <c r="AJ164" s="56"/>
      <c r="AK164" s="56"/>
      <c r="AL164" s="56"/>
      <c r="AM164" s="56"/>
      <c r="AN164" s="56"/>
      <c r="AO164" s="56"/>
      <c r="AP164" s="58">
        <f t="shared" si="6"/>
        <v>25</v>
      </c>
      <c r="AQ164" s="71">
        <f t="shared" si="7"/>
        <v>25.398000000000003</v>
      </c>
      <c r="AR164" s="71">
        <f>IFERROR(VLOOKUP(A164,Climatologia_TMED!A:U,9+$E$2,FALSE),"")</f>
        <v>23.79792760916008</v>
      </c>
      <c r="AS164" s="71">
        <f t="shared" si="8"/>
        <v>1.600072390839923</v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18.99020217944507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16.2</v>
      </c>
      <c r="L166" s="56">
        <v>13.6</v>
      </c>
      <c r="M166" s="56">
        <v>12.733333333333331</v>
      </c>
      <c r="N166" s="56">
        <v>15</v>
      </c>
      <c r="O166" s="56">
        <v>14.93333333333333</v>
      </c>
      <c r="P166" s="56">
        <v>16.733333333333331</v>
      </c>
      <c r="Q166" s="56">
        <v>16</v>
      </c>
      <c r="R166" s="56">
        <v>16.466666666666669</v>
      </c>
      <c r="S166" s="56">
        <v>14.53333333333333</v>
      </c>
      <c r="T166" s="56">
        <v>14.93333333333333</v>
      </c>
      <c r="U166" s="56">
        <v>14.8</v>
      </c>
      <c r="V166" s="56">
        <v>13.93333333333333</v>
      </c>
      <c r="W166" s="56">
        <v>15.33333333333333</v>
      </c>
      <c r="X166" s="56">
        <v>15.66666666666667</v>
      </c>
      <c r="Y166" s="56">
        <v>15.266666666666669</v>
      </c>
      <c r="Z166" s="56"/>
      <c r="AA166" s="56"/>
      <c r="AB166" s="56">
        <v>15.133333333333329</v>
      </c>
      <c r="AC166" s="56">
        <v>12.733333333333331</v>
      </c>
      <c r="AD166" s="56">
        <v>14.8</v>
      </c>
      <c r="AE166" s="56">
        <v>14.46666666666667</v>
      </c>
      <c r="AF166" s="56">
        <v>16</v>
      </c>
      <c r="AG166" s="56">
        <v>13.66666666666667</v>
      </c>
      <c r="AH166" s="56">
        <v>14.33333333333333</v>
      </c>
      <c r="AI166" s="56">
        <v>14.733333333333331</v>
      </c>
      <c r="AJ166" s="56"/>
      <c r="AK166" s="56"/>
      <c r="AL166" s="56"/>
      <c r="AM166" s="56"/>
      <c r="AN166" s="56"/>
      <c r="AO166" s="56"/>
      <c r="AP166" s="58">
        <f t="shared" si="6"/>
        <v>23</v>
      </c>
      <c r="AQ166" s="71">
        <f t="shared" si="7"/>
        <v>14.869565217391306</v>
      </c>
      <c r="AR166" s="71">
        <f>IFERROR(VLOOKUP(A166,Climatologia_TMED!A:U,9+$E$2,FALSE),"")</f>
        <v>13.598469534050141</v>
      </c>
      <c r="AS166" s="71">
        <f t="shared" si="8"/>
        <v>1.2710956833411657</v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21.266666666666669</v>
      </c>
      <c r="L167" s="56">
        <v>20.86666666666666</v>
      </c>
      <c r="M167" s="56">
        <v>19.733333333333331</v>
      </c>
      <c r="N167" s="56">
        <v>18.666666666666671</v>
      </c>
      <c r="O167" s="56">
        <v>20.6</v>
      </c>
      <c r="P167" s="56">
        <v>21.133333333333329</v>
      </c>
      <c r="Q167" s="56">
        <v>22.466666666666669</v>
      </c>
      <c r="R167" s="56"/>
      <c r="S167" s="56"/>
      <c r="T167" s="56">
        <v>19.93333333333333</v>
      </c>
      <c r="U167" s="56">
        <v>20.866666666666671</v>
      </c>
      <c r="V167" s="56">
        <v>19.93333333333333</v>
      </c>
      <c r="W167" s="56">
        <v>20.93333333333333</v>
      </c>
      <c r="X167" s="56">
        <v>20.8</v>
      </c>
      <c r="Y167" s="56">
        <v>22</v>
      </c>
      <c r="Z167" s="56">
        <v>22</v>
      </c>
      <c r="AA167" s="56">
        <v>21.06666666666667</v>
      </c>
      <c r="AB167" s="56">
        <v>20.666666666666671</v>
      </c>
      <c r="AC167" s="56">
        <v>20.399999999999999</v>
      </c>
      <c r="AD167" s="56">
        <v>20.06666666666667</v>
      </c>
      <c r="AE167" s="56">
        <v>20.399999999999999</v>
      </c>
      <c r="AF167" s="56">
        <v>20.8</v>
      </c>
      <c r="AG167" s="56">
        <v>19.666666666666671</v>
      </c>
      <c r="AH167" s="56">
        <v>20.2</v>
      </c>
      <c r="AI167" s="56">
        <v>21.06666666666667</v>
      </c>
      <c r="AJ167" s="56"/>
      <c r="AK167" s="56"/>
      <c r="AL167" s="56"/>
      <c r="AM167" s="56"/>
      <c r="AN167" s="56"/>
      <c r="AO167" s="56"/>
      <c r="AP167" s="58">
        <f t="shared" si="6"/>
        <v>23</v>
      </c>
      <c r="AQ167" s="71">
        <f t="shared" si="7"/>
        <v>20.67536231884058</v>
      </c>
      <c r="AR167" s="71">
        <f>IFERROR(VLOOKUP(A167,Climatologia_TMED!A:U,9+$E$2,FALSE),"")</f>
        <v>19.03556780961064</v>
      </c>
      <c r="AS167" s="71">
        <f t="shared" si="8"/>
        <v>1.6397945092299402</v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28.9</v>
      </c>
      <c r="L168" s="56">
        <v>27.7</v>
      </c>
      <c r="M168" s="56">
        <v>27.15</v>
      </c>
      <c r="N168" s="56">
        <v>25.6</v>
      </c>
      <c r="O168" s="56">
        <v>29.2</v>
      </c>
      <c r="P168" s="56">
        <v>28.15</v>
      </c>
      <c r="Q168" s="56">
        <v>30.15</v>
      </c>
      <c r="R168" s="56">
        <v>30.7</v>
      </c>
      <c r="S168" s="56">
        <v>24.55</v>
      </c>
      <c r="T168" s="56">
        <v>28.4</v>
      </c>
      <c r="U168" s="56">
        <v>28</v>
      </c>
      <c r="V168" s="56">
        <v>26.95</v>
      </c>
      <c r="W168" s="56">
        <v>28.8</v>
      </c>
      <c r="X168" s="56">
        <v>29.65</v>
      </c>
      <c r="Y168" s="56">
        <v>29.15</v>
      </c>
      <c r="Z168" s="56">
        <v>30.3</v>
      </c>
      <c r="AA168" s="56"/>
      <c r="AB168" s="56"/>
      <c r="AC168" s="56">
        <v>25.75</v>
      </c>
      <c r="AD168" s="56">
        <v>26.15</v>
      </c>
      <c r="AE168" s="56">
        <v>26.4</v>
      </c>
      <c r="AF168" s="56">
        <v>27.2</v>
      </c>
      <c r="AG168" s="56">
        <v>25.2</v>
      </c>
      <c r="AH168" s="56">
        <v>27.85</v>
      </c>
      <c r="AI168" s="56">
        <v>28.85</v>
      </c>
      <c r="AJ168" s="56"/>
      <c r="AK168" s="56"/>
      <c r="AL168" s="56"/>
      <c r="AM168" s="56"/>
      <c r="AN168" s="56"/>
      <c r="AO168" s="56"/>
      <c r="AP168" s="58">
        <f t="shared" si="6"/>
        <v>23</v>
      </c>
      <c r="AQ168" s="71">
        <f t="shared" si="7"/>
        <v>27.858695652173918</v>
      </c>
      <c r="AR168" s="71">
        <f>IFERROR(VLOOKUP(A168,Climatologia_TMED!A:U,9+$E$2,FALSE),"")</f>
        <v>26.065864466066579</v>
      </c>
      <c r="AS168" s="71">
        <f t="shared" si="8"/>
        <v>1.7928311861073389</v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9.1000000000000014</v>
      </c>
      <c r="L169" s="56">
        <v>8.75</v>
      </c>
      <c r="M169" s="56">
        <v>9.1</v>
      </c>
      <c r="N169" s="56">
        <v>8.15</v>
      </c>
      <c r="O169" s="56">
        <v>8.15</v>
      </c>
      <c r="P169" s="56">
        <v>10.35</v>
      </c>
      <c r="Q169" s="56">
        <v>9.9499999999999993</v>
      </c>
      <c r="R169" s="56">
        <v>9.8999999999999986</v>
      </c>
      <c r="S169" s="56">
        <v>8.5500000000000007</v>
      </c>
      <c r="T169" s="56">
        <v>7.75</v>
      </c>
      <c r="U169" s="56">
        <v>7.75</v>
      </c>
      <c r="V169" s="56">
        <v>8.15</v>
      </c>
      <c r="W169" s="56">
        <v>8.1499999999999986</v>
      </c>
      <c r="X169" s="56">
        <v>9</v>
      </c>
      <c r="Y169" s="56">
        <v>8.8500000000000014</v>
      </c>
      <c r="Z169" s="56">
        <v>9</v>
      </c>
      <c r="AA169" s="56">
        <v>9.6</v>
      </c>
      <c r="AB169" s="56">
        <v>9.0500000000000007</v>
      </c>
      <c r="AC169" s="56">
        <v>8.5500000000000007</v>
      </c>
      <c r="AD169" s="56">
        <v>9.1000000000000014</v>
      </c>
      <c r="AE169" s="56">
        <v>9.5500000000000007</v>
      </c>
      <c r="AF169" s="56">
        <v>10.45</v>
      </c>
      <c r="AG169" s="56">
        <v>9.85</v>
      </c>
      <c r="AH169" s="56">
        <v>7.9</v>
      </c>
      <c r="AI169" s="56">
        <v>9.4499999999999993</v>
      </c>
      <c r="AJ169" s="56"/>
      <c r="AK169" s="56"/>
      <c r="AL169" s="56"/>
      <c r="AM169" s="56"/>
      <c r="AN169" s="56"/>
      <c r="AO169" s="56"/>
      <c r="AP169" s="58">
        <f t="shared" si="6"/>
        <v>25</v>
      </c>
      <c r="AQ169" s="71">
        <f t="shared" si="7"/>
        <v>8.9659999999999993</v>
      </c>
      <c r="AR169" s="71">
        <f>IFERROR(VLOOKUP(A169,Climatologia_TMED!A:U,9+$E$2,FALSE),"")</f>
        <v>8.5421242813545373</v>
      </c>
      <c r="AS169" s="71">
        <f t="shared" si="8"/>
        <v>0.42387571864546203</v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/>
      <c r="L170" s="56"/>
      <c r="M170" s="56"/>
      <c r="N170" s="56">
        <v>24.6</v>
      </c>
      <c r="O170" s="56">
        <v>26.4</v>
      </c>
      <c r="P170" s="56">
        <v>23.733333333333331</v>
      </c>
      <c r="Q170" s="56">
        <v>24.666666666666671</v>
      </c>
      <c r="R170" s="56">
        <v>26.733333333333331</v>
      </c>
      <c r="S170" s="56">
        <v>22.4</v>
      </c>
      <c r="T170" s="56">
        <v>23.6</v>
      </c>
      <c r="U170" s="56"/>
      <c r="V170" s="56"/>
      <c r="W170" s="56">
        <v>24.13333333333334</v>
      </c>
      <c r="X170" s="56">
        <v>24.733333333333331</v>
      </c>
      <c r="Y170" s="56">
        <v>26.266666666666669</v>
      </c>
      <c r="Z170" s="56">
        <v>24</v>
      </c>
      <c r="AA170" s="56"/>
      <c r="AB170" s="56"/>
      <c r="AC170" s="56"/>
      <c r="AD170" s="56">
        <v>23.666666666666671</v>
      </c>
      <c r="AE170" s="56">
        <v>25</v>
      </c>
      <c r="AF170" s="56">
        <v>26.2</v>
      </c>
      <c r="AG170" s="56">
        <v>23.466666666666669</v>
      </c>
      <c r="AH170" s="56">
        <v>26.333333333333329</v>
      </c>
      <c r="AI170" s="56">
        <v>26.466666666666669</v>
      </c>
      <c r="AJ170" s="56"/>
      <c r="AK170" s="56"/>
      <c r="AL170" s="56"/>
      <c r="AM170" s="56"/>
      <c r="AN170" s="56"/>
      <c r="AO170" s="56"/>
      <c r="AP170" s="58">
        <f t="shared" si="6"/>
        <v>17</v>
      </c>
      <c r="AQ170" s="71">
        <f t="shared" si="7"/>
        <v>24.847058823529409</v>
      </c>
      <c r="AR170" s="71">
        <f>IFERROR(VLOOKUP(A170,Climatologia_TMED!A:U,9+$E$2,FALSE),"")</f>
        <v>24.090623941862471</v>
      </c>
      <c r="AS170" s="71">
        <f t="shared" si="8"/>
        <v>0.75643488166693729</v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19.666666666666671</v>
      </c>
      <c r="L171" s="56">
        <v>20.2</v>
      </c>
      <c r="M171" s="56">
        <v>20.133333333333329</v>
      </c>
      <c r="N171" s="56">
        <v>20.333333333333329</v>
      </c>
      <c r="O171" s="56">
        <v>21</v>
      </c>
      <c r="P171" s="56">
        <v>22.13333333333334</v>
      </c>
      <c r="Q171" s="56">
        <v>23.86666666666666</v>
      </c>
      <c r="R171" s="56">
        <v>22.8</v>
      </c>
      <c r="S171" s="56">
        <v>19.266666666666669</v>
      </c>
      <c r="T171" s="56">
        <v>21.86666666666666</v>
      </c>
      <c r="U171" s="56">
        <v>19.866666666666671</v>
      </c>
      <c r="V171" s="56">
        <v>20.266666666666669</v>
      </c>
      <c r="W171" s="56">
        <v>20.666666666666671</v>
      </c>
      <c r="X171" s="56"/>
      <c r="Y171" s="56">
        <v>22.933333333333341</v>
      </c>
      <c r="Z171" s="56">
        <v>21.466666666666669</v>
      </c>
      <c r="AA171" s="56">
        <v>21.86666666666666</v>
      </c>
      <c r="AB171" s="56">
        <v>20</v>
      </c>
      <c r="AC171" s="56">
        <v>18.733333333333331</v>
      </c>
      <c r="AD171" s="56">
        <v>19.866666666666671</v>
      </c>
      <c r="AE171" s="56">
        <v>21.06666666666667</v>
      </c>
      <c r="AF171" s="56">
        <v>20.6</v>
      </c>
      <c r="AG171" s="56">
        <v>19.466666666666669</v>
      </c>
      <c r="AH171" s="56">
        <v>21.133333333333329</v>
      </c>
      <c r="AI171" s="56">
        <v>19.866666666666671</v>
      </c>
      <c r="AJ171" s="56"/>
      <c r="AK171" s="56"/>
      <c r="AL171" s="56"/>
      <c r="AM171" s="56"/>
      <c r="AN171" s="56"/>
      <c r="AO171" s="56"/>
      <c r="AP171" s="58">
        <f t="shared" si="6"/>
        <v>24</v>
      </c>
      <c r="AQ171" s="71">
        <f t="shared" si="7"/>
        <v>20.794444444444448</v>
      </c>
      <c r="AR171" s="71">
        <f>IFERROR(VLOOKUP(A171,Climatologia_TMED!A:U,9+$E$2,FALSE),"")</f>
        <v>18.928926022251918</v>
      </c>
      <c r="AS171" s="71">
        <f t="shared" si="8"/>
        <v>1.8655184221925296</v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24.6</v>
      </c>
      <c r="L172" s="56">
        <v>25.65</v>
      </c>
      <c r="M172" s="56">
        <v>25.25</v>
      </c>
      <c r="N172" s="56">
        <v>24.45</v>
      </c>
      <c r="O172" s="56">
        <v>25.6</v>
      </c>
      <c r="P172" s="56">
        <v>26.4</v>
      </c>
      <c r="Q172" s="56">
        <v>26.8</v>
      </c>
      <c r="R172" s="56"/>
      <c r="S172" s="56"/>
      <c r="T172" s="56">
        <v>26.2</v>
      </c>
      <c r="U172" s="56">
        <v>25.35</v>
      </c>
      <c r="V172" s="56">
        <v>24.25</v>
      </c>
      <c r="W172" s="56">
        <v>25.75</v>
      </c>
      <c r="X172" s="56">
        <v>27.15</v>
      </c>
      <c r="Y172" s="56">
        <v>27.45</v>
      </c>
      <c r="Z172" s="56">
        <v>26.3</v>
      </c>
      <c r="AA172" s="56">
        <v>25.35</v>
      </c>
      <c r="AB172" s="56">
        <v>24.8</v>
      </c>
      <c r="AC172" s="56">
        <v>24.45</v>
      </c>
      <c r="AD172" s="56">
        <v>24.65</v>
      </c>
      <c r="AE172" s="56">
        <v>26.8</v>
      </c>
      <c r="AF172" s="56">
        <v>26.7</v>
      </c>
      <c r="AG172" s="56">
        <v>24.25</v>
      </c>
      <c r="AH172" s="56">
        <v>26.75</v>
      </c>
      <c r="AI172" s="56">
        <v>25.55</v>
      </c>
      <c r="AJ172" s="56"/>
      <c r="AK172" s="56"/>
      <c r="AL172" s="56"/>
      <c r="AM172" s="56"/>
      <c r="AN172" s="56"/>
      <c r="AO172" s="56"/>
      <c r="AP172" s="58">
        <f t="shared" si="6"/>
        <v>23</v>
      </c>
      <c r="AQ172" s="71">
        <f t="shared" si="7"/>
        <v>25.673913043478262</v>
      </c>
      <c r="AR172" s="71">
        <f>IFERROR(VLOOKUP(A172,Climatologia_TMED!A:U,9+$E$2,FALSE),"")</f>
        <v>24.438628368511878</v>
      </c>
      <c r="AS172" s="71">
        <f t="shared" si="8"/>
        <v>1.2352846749663833</v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23.15</v>
      </c>
      <c r="L173" s="56">
        <v>26.2</v>
      </c>
      <c r="M173" s="56">
        <v>24.9</v>
      </c>
      <c r="N173" s="56">
        <v>25.35</v>
      </c>
      <c r="O173" s="56">
        <v>24.8</v>
      </c>
      <c r="P173" s="56">
        <v>26</v>
      </c>
      <c r="Q173" s="56">
        <v>26.55</v>
      </c>
      <c r="R173" s="56">
        <v>25.733333333333331</v>
      </c>
      <c r="S173" s="56">
        <v>25.25</v>
      </c>
      <c r="T173" s="56">
        <v>25.8</v>
      </c>
      <c r="U173" s="56">
        <v>24.7</v>
      </c>
      <c r="V173" s="56">
        <v>24.1</v>
      </c>
      <c r="W173" s="56">
        <v>25.55</v>
      </c>
      <c r="X173" s="56">
        <v>25.15</v>
      </c>
      <c r="Y173" s="56">
        <v>26.15</v>
      </c>
      <c r="Z173" s="56">
        <v>25.8</v>
      </c>
      <c r="AA173" s="56">
        <v>24.024999999999999</v>
      </c>
      <c r="AB173" s="56">
        <v>25.35</v>
      </c>
      <c r="AC173" s="56">
        <v>23.6</v>
      </c>
      <c r="AD173" s="56">
        <v>24.75</v>
      </c>
      <c r="AE173" s="56">
        <v>24.9</v>
      </c>
      <c r="AF173" s="56">
        <v>25.85</v>
      </c>
      <c r="AG173" s="56">
        <v>24.35</v>
      </c>
      <c r="AH173" s="56">
        <v>25.45</v>
      </c>
      <c r="AI173" s="56">
        <v>24.65</v>
      </c>
      <c r="AJ173" s="56"/>
      <c r="AK173" s="56"/>
      <c r="AL173" s="56"/>
      <c r="AM173" s="56"/>
      <c r="AN173" s="56"/>
      <c r="AO173" s="56"/>
      <c r="AP173" s="58">
        <f t="shared" si="6"/>
        <v>25</v>
      </c>
      <c r="AQ173" s="71">
        <f t="shared" si="7"/>
        <v>25.12433333333334</v>
      </c>
      <c r="AR173" s="71">
        <f>IFERROR(VLOOKUP(A173,Climatologia_TMED!A:U,9+$E$2,FALSE),"")</f>
        <v>24.054408602150531</v>
      </c>
      <c r="AS173" s="71">
        <f t="shared" si="8"/>
        <v>1.0699247311828088</v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13.53333333333333</v>
      </c>
      <c r="L174" s="56">
        <v>12.93333333333333</v>
      </c>
      <c r="M174" s="56">
        <v>12.66666666666667</v>
      </c>
      <c r="N174" s="56">
        <v>12.6</v>
      </c>
      <c r="O174" s="56">
        <v>14.133333333333329</v>
      </c>
      <c r="P174" s="56">
        <v>15.866666666666671</v>
      </c>
      <c r="Q174" s="56">
        <v>15.33333333333333</v>
      </c>
      <c r="R174" s="56"/>
      <c r="S174" s="56">
        <v>13.866666666666671</v>
      </c>
      <c r="T174" s="56">
        <v>13.53333333333333</v>
      </c>
      <c r="U174" s="56">
        <v>15.4</v>
      </c>
      <c r="V174" s="56">
        <v>11.866666666666671</v>
      </c>
      <c r="W174" s="56">
        <v>13.933333333333341</v>
      </c>
      <c r="X174" s="56">
        <v>14.53333333333333</v>
      </c>
      <c r="Y174" s="56">
        <v>14.8</v>
      </c>
      <c r="Z174" s="56">
        <v>13.66666666666667</v>
      </c>
      <c r="AA174" s="56">
        <v>13</v>
      </c>
      <c r="AB174" s="56">
        <v>14.8</v>
      </c>
      <c r="AC174" s="56">
        <v>13.6</v>
      </c>
      <c r="AD174" s="56">
        <v>12.66666666666667</v>
      </c>
      <c r="AE174" s="56">
        <v>13.46666666666667</v>
      </c>
      <c r="AF174" s="56">
        <v>15.46666666666667</v>
      </c>
      <c r="AG174" s="56">
        <v>12.8</v>
      </c>
      <c r="AH174" s="56">
        <v>13.6</v>
      </c>
      <c r="AI174" s="56">
        <v>14.4</v>
      </c>
      <c r="AJ174" s="56"/>
      <c r="AK174" s="56"/>
      <c r="AL174" s="56"/>
      <c r="AM174" s="56"/>
      <c r="AN174" s="56"/>
      <c r="AO174" s="56"/>
      <c r="AP174" s="58">
        <f t="shared" si="6"/>
        <v>24</v>
      </c>
      <c r="AQ174" s="71">
        <f t="shared" si="7"/>
        <v>13.852777777777781</v>
      </c>
      <c r="AR174" s="71">
        <f>IFERROR(VLOOKUP(A174,Climatologia_TMED!A:U,9+$E$2,FALSE),"")</f>
        <v>12.06075185767186</v>
      </c>
      <c r="AS174" s="71">
        <f t="shared" si="8"/>
        <v>1.792025920105921</v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24.8</v>
      </c>
      <c r="L175" s="56">
        <v>24.86666666666666</v>
      </c>
      <c r="M175" s="56">
        <v>23.86666666666666</v>
      </c>
      <c r="N175" s="56">
        <v>24.8</v>
      </c>
      <c r="O175" s="56">
        <v>25.8</v>
      </c>
      <c r="P175" s="56"/>
      <c r="Q175" s="56">
        <v>26.4</v>
      </c>
      <c r="R175" s="56">
        <v>25.266666666666669</v>
      </c>
      <c r="S175" s="56">
        <v>25</v>
      </c>
      <c r="T175" s="56">
        <v>24.666666666666671</v>
      </c>
      <c r="U175" s="56">
        <v>24.166666666666671</v>
      </c>
      <c r="V175" s="56">
        <v>23.6</v>
      </c>
      <c r="W175" s="56">
        <v>24.333333333333329</v>
      </c>
      <c r="X175" s="56">
        <v>24.6</v>
      </c>
      <c r="Y175" s="56">
        <v>26.06666666666667</v>
      </c>
      <c r="Z175" s="56">
        <v>24.86666666666666</v>
      </c>
      <c r="AA175" s="56">
        <v>25.266666666666669</v>
      </c>
      <c r="AB175" s="56"/>
      <c r="AC175" s="56">
        <v>23.4</v>
      </c>
      <c r="AD175" s="56">
        <v>24.533333333333331</v>
      </c>
      <c r="AE175" s="56">
        <v>23.533333333333331</v>
      </c>
      <c r="AF175" s="56">
        <v>24.4</v>
      </c>
      <c r="AG175" s="56">
        <v>22.06666666666667</v>
      </c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21</v>
      </c>
      <c r="AQ175" s="71">
        <f t="shared" si="7"/>
        <v>24.585714285714282</v>
      </c>
      <c r="AR175" s="71">
        <f>IFERROR(VLOOKUP(A175,Climatologia_TMED!A:U,9+$E$2,FALSE),"")</f>
        <v>23.532893345747048</v>
      </c>
      <c r="AS175" s="71">
        <f t="shared" si="8"/>
        <v>1.0528209399672335</v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22.91788397034211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19.5698772272609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24.93333333333333</v>
      </c>
      <c r="L178" s="56">
        <v>26.86666666666666</v>
      </c>
      <c r="M178" s="56">
        <v>24.4</v>
      </c>
      <c r="N178" s="56">
        <v>24.2</v>
      </c>
      <c r="O178" s="56"/>
      <c r="P178" s="56">
        <v>25.2</v>
      </c>
      <c r="Q178" s="56">
        <v>26.8</v>
      </c>
      <c r="R178" s="56">
        <v>25.933333333333341</v>
      </c>
      <c r="S178" s="56">
        <v>25.2</v>
      </c>
      <c r="T178" s="56">
        <v>26.533333333333331</v>
      </c>
      <c r="U178" s="56">
        <v>25.93333333333333</v>
      </c>
      <c r="V178" s="56">
        <v>24.8</v>
      </c>
      <c r="W178" s="56">
        <v>25.4</v>
      </c>
      <c r="X178" s="56">
        <v>26.13333333333334</v>
      </c>
      <c r="Y178" s="56"/>
      <c r="Z178" s="56"/>
      <c r="AA178" s="56">
        <v>25.466666666666669</v>
      </c>
      <c r="AB178" s="56"/>
      <c r="AC178" s="56"/>
      <c r="AD178" s="56">
        <v>22.8</v>
      </c>
      <c r="AE178" s="56">
        <v>24.066666666666659</v>
      </c>
      <c r="AF178" s="56">
        <v>25.2</v>
      </c>
      <c r="AG178" s="56">
        <v>24.066666666666659</v>
      </c>
      <c r="AH178" s="56">
        <v>25.133333333333329</v>
      </c>
      <c r="AI178" s="56">
        <v>23.86666666666666</v>
      </c>
      <c r="AJ178" s="56"/>
      <c r="AK178" s="56"/>
      <c r="AL178" s="56"/>
      <c r="AM178" s="56"/>
      <c r="AN178" s="56"/>
      <c r="AO178" s="56"/>
      <c r="AP178" s="58">
        <f t="shared" si="6"/>
        <v>20</v>
      </c>
      <c r="AQ178" s="71">
        <f t="shared" si="7"/>
        <v>25.146666666666665</v>
      </c>
      <c r="AR178" s="71">
        <f>IFERROR(VLOOKUP(A178,Climatologia_TMED!A:U,9+$E$2,FALSE),"")</f>
        <v>24.552280346878891</v>
      </c>
      <c r="AS178" s="71">
        <f t="shared" si="8"/>
        <v>0.59438631978777323</v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18.8</v>
      </c>
      <c r="L179" s="56">
        <v>19.45</v>
      </c>
      <c r="M179" s="56">
        <v>19.3</v>
      </c>
      <c r="N179" s="56">
        <v>17.2</v>
      </c>
      <c r="O179" s="56">
        <v>18.8</v>
      </c>
      <c r="P179" s="56"/>
      <c r="Q179" s="56"/>
      <c r="R179" s="56">
        <v>19</v>
      </c>
      <c r="S179" s="56"/>
      <c r="T179" s="56"/>
      <c r="U179" s="56">
        <v>18.350000000000001</v>
      </c>
      <c r="V179" s="56">
        <v>17.850000000000001</v>
      </c>
      <c r="W179" s="56">
        <v>19.399999999999999</v>
      </c>
      <c r="X179" s="56">
        <v>19.7</v>
      </c>
      <c r="Y179" s="56">
        <v>20.149999999999999</v>
      </c>
      <c r="Z179" s="56">
        <v>19.899999999999999</v>
      </c>
      <c r="AA179" s="56">
        <v>19.8</v>
      </c>
      <c r="AB179" s="56">
        <v>18.850000000000001</v>
      </c>
      <c r="AC179" s="56">
        <v>16.95</v>
      </c>
      <c r="AD179" s="56">
        <v>16.899999999999999</v>
      </c>
      <c r="AE179" s="56">
        <v>18.55</v>
      </c>
      <c r="AF179" s="56">
        <v>19.05</v>
      </c>
      <c r="AG179" s="56">
        <v>16.8</v>
      </c>
      <c r="AH179" s="56">
        <v>17.7</v>
      </c>
      <c r="AI179" s="56">
        <v>18.45</v>
      </c>
      <c r="AJ179" s="56"/>
      <c r="AK179" s="56"/>
      <c r="AL179" s="56"/>
      <c r="AM179" s="56"/>
      <c r="AN179" s="56"/>
      <c r="AO179" s="56"/>
      <c r="AP179" s="58">
        <f t="shared" si="6"/>
        <v>21</v>
      </c>
      <c r="AQ179" s="71">
        <f t="shared" si="7"/>
        <v>18.616666666666667</v>
      </c>
      <c r="AR179" s="71">
        <f>IFERROR(VLOOKUP(A179,Climatologia_TMED!A:U,9+$E$2,FALSE),"")</f>
        <v>17.587583683516652</v>
      </c>
      <c r="AS179" s="71">
        <f t="shared" si="8"/>
        <v>1.0290829831500155</v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15.83877688172042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31</v>
      </c>
      <c r="L181" s="56">
        <v>29.466666666666669</v>
      </c>
      <c r="M181" s="56">
        <v>28.2</v>
      </c>
      <c r="N181" s="56">
        <v>29.86666666666666</v>
      </c>
      <c r="O181" s="56">
        <v>30.066666666666659</v>
      </c>
      <c r="P181" s="56">
        <v>32.866666666666667</v>
      </c>
      <c r="Q181" s="56">
        <v>32.133333333333333</v>
      </c>
      <c r="R181" s="56">
        <v>33</v>
      </c>
      <c r="S181" s="56">
        <v>30.666666666666671</v>
      </c>
      <c r="T181" s="56">
        <v>31.06666666666667</v>
      </c>
      <c r="U181" s="56">
        <v>31.466666666666669</v>
      </c>
      <c r="V181" s="56">
        <v>29.666666666666671</v>
      </c>
      <c r="W181" s="56">
        <v>32.266666666666673</v>
      </c>
      <c r="X181" s="56">
        <v>30.8</v>
      </c>
      <c r="Y181" s="56">
        <v>31.6</v>
      </c>
      <c r="Z181" s="56">
        <v>32.533333333333331</v>
      </c>
      <c r="AA181" s="56">
        <v>31.8</v>
      </c>
      <c r="AB181" s="56">
        <v>29.4</v>
      </c>
      <c r="AC181" s="56">
        <v>29.93333333333333</v>
      </c>
      <c r="AD181" s="56">
        <v>30.866666666666671</v>
      </c>
      <c r="AE181" s="56">
        <v>29.733333333333331</v>
      </c>
      <c r="AF181" s="56">
        <v>32.4</v>
      </c>
      <c r="AG181" s="56">
        <v>30.06666666666667</v>
      </c>
      <c r="AH181" s="56">
        <v>31.333333333333329</v>
      </c>
      <c r="AI181" s="56">
        <v>30.466666666666669</v>
      </c>
      <c r="AJ181" s="56"/>
      <c r="AK181" s="56"/>
      <c r="AL181" s="56"/>
      <c r="AM181" s="56"/>
      <c r="AN181" s="56"/>
      <c r="AO181" s="56"/>
      <c r="AP181" s="58">
        <f t="shared" si="6"/>
        <v>25</v>
      </c>
      <c r="AQ181" s="71">
        <f t="shared" si="7"/>
        <v>30.906666666666666</v>
      </c>
      <c r="AR181" s="71">
        <f>IFERROR(VLOOKUP(A181,Climatologia_TMED!A:U,9+$E$2,FALSE),"")</f>
        <v>28.533236387569811</v>
      </c>
      <c r="AS181" s="71">
        <f t="shared" si="8"/>
        <v>2.3734302790968549</v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28.229959867329249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28.77035045798484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28.6</v>
      </c>
      <c r="L184" s="56">
        <v>28.2</v>
      </c>
      <c r="M184" s="56">
        <v>26.533333333333331</v>
      </c>
      <c r="N184" s="56">
        <v>26</v>
      </c>
      <c r="O184" s="56">
        <v>28.066666666666659</v>
      </c>
      <c r="P184" s="56">
        <v>27.933333333333341</v>
      </c>
      <c r="Q184" s="56">
        <v>28.666666666666671</v>
      </c>
      <c r="R184" s="56">
        <v>29.86666666666666</v>
      </c>
      <c r="S184" s="56">
        <v>28.06666666666667</v>
      </c>
      <c r="T184" s="56">
        <v>27.6</v>
      </c>
      <c r="U184" s="56">
        <v>27.93333333333333</v>
      </c>
      <c r="V184" s="56">
        <v>26.733333333333331</v>
      </c>
      <c r="W184" s="56">
        <v>28.333333333333329</v>
      </c>
      <c r="X184" s="56">
        <v>27.733333333333331</v>
      </c>
      <c r="Y184" s="56">
        <v>29</v>
      </c>
      <c r="Z184" s="56">
        <v>28.6</v>
      </c>
      <c r="AA184" s="56">
        <v>28.4</v>
      </c>
      <c r="AB184" s="56">
        <v>27.2</v>
      </c>
      <c r="AC184" s="56">
        <v>27.13333333333334</v>
      </c>
      <c r="AD184" s="56">
        <v>29.2</v>
      </c>
      <c r="AE184" s="56">
        <v>28.8</v>
      </c>
      <c r="AF184" s="56">
        <v>28.93333333333333</v>
      </c>
      <c r="AG184" s="56">
        <v>28.6</v>
      </c>
      <c r="AH184" s="56">
        <v>29.2</v>
      </c>
      <c r="AI184" s="56">
        <v>27.2</v>
      </c>
      <c r="AJ184" s="56"/>
      <c r="AK184" s="56"/>
      <c r="AL184" s="56"/>
      <c r="AM184" s="56"/>
      <c r="AN184" s="56"/>
      <c r="AO184" s="56"/>
      <c r="AP184" s="58">
        <f t="shared" si="6"/>
        <v>25</v>
      </c>
      <c r="AQ184" s="71">
        <f t="shared" si="7"/>
        <v>28.101333333333336</v>
      </c>
      <c r="AR184" s="71">
        <f>IFERROR(VLOOKUP(A184,Climatologia_TMED!A:U,9+$E$2,FALSE),"")</f>
        <v>26.638371217616989</v>
      </c>
      <c r="AS184" s="71">
        <f t="shared" si="8"/>
        <v>1.4629621157163477</v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27</v>
      </c>
      <c r="L185" s="56">
        <v>27.333333333333329</v>
      </c>
      <c r="M185" s="56">
        <v>26.266666666666669</v>
      </c>
      <c r="N185" s="56">
        <v>27</v>
      </c>
      <c r="O185" s="56">
        <v>28.6</v>
      </c>
      <c r="P185" s="56">
        <v>29.8</v>
      </c>
      <c r="Q185" s="56">
        <v>29.666666666666671</v>
      </c>
      <c r="R185" s="56">
        <v>31.13333333333334</v>
      </c>
      <c r="S185" s="56">
        <v>28.6</v>
      </c>
      <c r="T185" s="56">
        <v>28.2</v>
      </c>
      <c r="U185" s="56"/>
      <c r="V185" s="56"/>
      <c r="W185" s="56"/>
      <c r="X185" s="56"/>
      <c r="Y185" s="56">
        <v>29.93333333333333</v>
      </c>
      <c r="Z185" s="56">
        <v>30.4</v>
      </c>
      <c r="AA185" s="56">
        <v>29.666666666666671</v>
      </c>
      <c r="AB185" s="56">
        <v>28.13333333333334</v>
      </c>
      <c r="AC185" s="56">
        <v>28.93333333333333</v>
      </c>
      <c r="AD185" s="56">
        <v>30.266666666666669</v>
      </c>
      <c r="AE185" s="56">
        <v>29.13333333333334</v>
      </c>
      <c r="AF185" s="56">
        <v>30.733333333333331</v>
      </c>
      <c r="AG185" s="56">
        <v>28.6</v>
      </c>
      <c r="AH185" s="56">
        <v>28.866666666666671</v>
      </c>
      <c r="AI185" s="56"/>
      <c r="AJ185" s="56"/>
      <c r="AK185" s="56"/>
      <c r="AL185" s="56"/>
      <c r="AM185" s="56"/>
      <c r="AN185" s="56"/>
      <c r="AO185" s="56"/>
      <c r="AP185" s="58">
        <f t="shared" si="6"/>
        <v>20</v>
      </c>
      <c r="AQ185" s="71">
        <f t="shared" si="7"/>
        <v>28.913333333333334</v>
      </c>
      <c r="AR185" s="71">
        <f>IFERROR(VLOOKUP(A185,Climatologia_TMED!A:U,9+$E$2,FALSE),"")</f>
        <v>27.608632285011371</v>
      </c>
      <c r="AS185" s="71">
        <f t="shared" si="8"/>
        <v>1.304701048321963</v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29.070126004555309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26.268944482947319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18.2</v>
      </c>
      <c r="L188" s="56">
        <v>16.600000000000001</v>
      </c>
      <c r="M188" s="56">
        <v>16.666666666666671</v>
      </c>
      <c r="N188" s="56">
        <v>15.2</v>
      </c>
      <c r="O188" s="56">
        <v>17</v>
      </c>
      <c r="P188" s="56">
        <v>19.266666666666669</v>
      </c>
      <c r="Q188" s="56">
        <v>17.93333333333333</v>
      </c>
      <c r="R188" s="56">
        <v>19.2</v>
      </c>
      <c r="S188" s="56">
        <v>15.6</v>
      </c>
      <c r="T188" s="56">
        <v>18.13333333333334</v>
      </c>
      <c r="U188" s="56">
        <v>19</v>
      </c>
      <c r="V188" s="56">
        <v>15.866666666666671</v>
      </c>
      <c r="W188" s="56">
        <v>16.866666666666671</v>
      </c>
      <c r="X188" s="56">
        <v>17.86666666666666</v>
      </c>
      <c r="Y188" s="56">
        <v>17.733333333333331</v>
      </c>
      <c r="Z188" s="56">
        <v>18.666666666666671</v>
      </c>
      <c r="AA188" s="56">
        <v>19.266666666666669</v>
      </c>
      <c r="AB188" s="56">
        <v>17.600000000000001</v>
      </c>
      <c r="AC188" s="56">
        <v>16.733333333333331</v>
      </c>
      <c r="AD188" s="56">
        <v>16.06666666666667</v>
      </c>
      <c r="AE188" s="56">
        <v>16.600000000000001</v>
      </c>
      <c r="AF188" s="56">
        <v>17.93333333333333</v>
      </c>
      <c r="AG188" s="56">
        <v>16.133333333333329</v>
      </c>
      <c r="AH188" s="56">
        <v>17.06666666666667</v>
      </c>
      <c r="AI188" s="56">
        <v>16.8</v>
      </c>
      <c r="AJ188" s="56"/>
      <c r="AK188" s="56"/>
      <c r="AL188" s="56"/>
      <c r="AM188" s="56"/>
      <c r="AN188" s="56"/>
      <c r="AO188" s="56"/>
      <c r="AP188" s="58">
        <f t="shared" si="6"/>
        <v>25</v>
      </c>
      <c r="AQ188" s="71">
        <f t="shared" si="7"/>
        <v>17.360000000000003</v>
      </c>
      <c r="AR188" s="71">
        <f>IFERROR(VLOOKUP(A188,Climatologia_TMED!A:U,9+$E$2,FALSE),"")</f>
        <v>15.99559198953173</v>
      </c>
      <c r="AS188" s="71">
        <f t="shared" si="8"/>
        <v>1.3644080104682725</v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31.4</v>
      </c>
      <c r="L189" s="56">
        <v>30.333333333333329</v>
      </c>
      <c r="M189" s="56">
        <v>30.8</v>
      </c>
      <c r="N189" s="56"/>
      <c r="O189" s="56">
        <v>32.200000000000003</v>
      </c>
      <c r="P189" s="56"/>
      <c r="Q189" s="56">
        <v>33</v>
      </c>
      <c r="R189" s="56">
        <v>34.133333333333333</v>
      </c>
      <c r="S189" s="56"/>
      <c r="T189" s="56">
        <v>32.93333333333333</v>
      </c>
      <c r="U189" s="56">
        <v>32</v>
      </c>
      <c r="V189" s="56">
        <v>30.93333333333333</v>
      </c>
      <c r="W189" s="56">
        <v>32.333333333333343</v>
      </c>
      <c r="X189" s="56"/>
      <c r="Y189" s="56">
        <v>34.06666666666667</v>
      </c>
      <c r="Z189" s="56">
        <v>32.93333333333333</v>
      </c>
      <c r="AA189" s="56">
        <v>33.533333333333339</v>
      </c>
      <c r="AB189" s="56">
        <v>31.666666666666671</v>
      </c>
      <c r="AC189" s="56"/>
      <c r="AD189" s="56">
        <v>30.06666666666667</v>
      </c>
      <c r="AE189" s="56"/>
      <c r="AF189" s="56">
        <v>33.266666666666673</v>
      </c>
      <c r="AG189" s="56">
        <v>29.533333333333331</v>
      </c>
      <c r="AH189" s="56">
        <v>31.466666666666669</v>
      </c>
      <c r="AI189" s="56">
        <v>31.86666666666666</v>
      </c>
      <c r="AJ189" s="56"/>
      <c r="AK189" s="56"/>
      <c r="AL189" s="56"/>
      <c r="AM189" s="56"/>
      <c r="AN189" s="56"/>
      <c r="AO189" s="56"/>
      <c r="AP189" s="58">
        <f t="shared" si="6"/>
        <v>19</v>
      </c>
      <c r="AQ189" s="71">
        <f t="shared" si="7"/>
        <v>32.024561403508777</v>
      </c>
      <c r="AR189" s="71">
        <f>IFERROR(VLOOKUP(A189,Climatologia_TMED!A:U,9+$E$2,FALSE),"")</f>
        <v>29.85158435805279</v>
      </c>
      <c r="AS189" s="71">
        <f t="shared" si="8"/>
        <v>2.1729770454559869</v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31.06666666666667</v>
      </c>
      <c r="L190" s="56">
        <v>28.466666666666669</v>
      </c>
      <c r="M190" s="56">
        <v>29.2</v>
      </c>
      <c r="N190" s="56">
        <v>28</v>
      </c>
      <c r="O190" s="56">
        <v>31.2</v>
      </c>
      <c r="P190" s="56">
        <v>32.266666666666673</v>
      </c>
      <c r="Q190" s="56">
        <v>31.4</v>
      </c>
      <c r="R190" s="56">
        <v>32.266666666666673</v>
      </c>
      <c r="S190" s="56">
        <v>29.4</v>
      </c>
      <c r="T190" s="56">
        <v>32.066666666666663</v>
      </c>
      <c r="U190" s="56">
        <v>30.666666666666671</v>
      </c>
      <c r="V190" s="56">
        <v>28.266666666666669</v>
      </c>
      <c r="W190" s="56">
        <v>31.266666666666669</v>
      </c>
      <c r="X190" s="56">
        <v>31.066666666666659</v>
      </c>
      <c r="Y190" s="56">
        <v>32.200000000000003</v>
      </c>
      <c r="Z190" s="56">
        <v>32.266666666666673</v>
      </c>
      <c r="AA190" s="56">
        <v>32.799999999999997</v>
      </c>
      <c r="AB190" s="56">
        <v>31.6</v>
      </c>
      <c r="AC190" s="56">
        <v>28.733333333333331</v>
      </c>
      <c r="AD190" s="56">
        <v>32.06666666666667</v>
      </c>
      <c r="AE190" s="56">
        <v>28.93333333333333</v>
      </c>
      <c r="AF190" s="56">
        <v>30.933333333333341</v>
      </c>
      <c r="AG190" s="56">
        <v>27.8</v>
      </c>
      <c r="AH190" s="56">
        <v>30.93333333333333</v>
      </c>
      <c r="AI190" s="56">
        <v>30.4</v>
      </c>
      <c r="AJ190" s="56"/>
      <c r="AK190" s="56"/>
      <c r="AL190" s="56"/>
      <c r="AM190" s="56"/>
      <c r="AN190" s="56"/>
      <c r="AO190" s="56"/>
      <c r="AP190" s="58">
        <f t="shared" si="6"/>
        <v>25</v>
      </c>
      <c r="AQ190" s="71">
        <f t="shared" si="7"/>
        <v>30.610666666666667</v>
      </c>
      <c r="AR190" s="71">
        <f>IFERROR(VLOOKUP(A190,Climatologia_TMED!A:U,9+$E$2,FALSE),"")</f>
        <v>28.916523661482469</v>
      </c>
      <c r="AS190" s="71">
        <f t="shared" si="8"/>
        <v>1.6941430051841984</v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19.149999999999999</v>
      </c>
      <c r="L191" s="56">
        <v>18.95</v>
      </c>
      <c r="M191" s="56">
        <v>18.149999999999999</v>
      </c>
      <c r="N191" s="56">
        <v>17.45</v>
      </c>
      <c r="O191" s="56">
        <v>18.600000000000001</v>
      </c>
      <c r="P191" s="56">
        <v>20.149999999999999</v>
      </c>
      <c r="Q191" s="56">
        <v>19</v>
      </c>
      <c r="R191" s="56">
        <v>19.399999999999999</v>
      </c>
      <c r="S191" s="56">
        <v>17.25</v>
      </c>
      <c r="T191" s="56">
        <v>18.100000000000001</v>
      </c>
      <c r="U191" s="56">
        <v>20.85</v>
      </c>
      <c r="V191" s="56">
        <v>17.850000000000001</v>
      </c>
      <c r="W191" s="56">
        <v>18.350000000000001</v>
      </c>
      <c r="X191" s="56">
        <v>18.149999999999999</v>
      </c>
      <c r="Y191" s="56">
        <v>18.850000000000001</v>
      </c>
      <c r="Z191" s="56">
        <v>19.05</v>
      </c>
      <c r="AA191" s="56">
        <v>19.95</v>
      </c>
      <c r="AB191" s="56">
        <v>19.399999999999999</v>
      </c>
      <c r="AC191" s="56">
        <v>18.5</v>
      </c>
      <c r="AD191" s="56">
        <v>17.05</v>
      </c>
      <c r="AE191" s="56">
        <v>18.649999999999999</v>
      </c>
      <c r="AF191" s="56">
        <v>19.149999999999999</v>
      </c>
      <c r="AG191" s="56">
        <v>17.7</v>
      </c>
      <c r="AH191" s="56">
        <v>18.25</v>
      </c>
      <c r="AI191" s="56">
        <v>18.25</v>
      </c>
      <c r="AJ191" s="56"/>
      <c r="AK191" s="56"/>
      <c r="AL191" s="56"/>
      <c r="AM191" s="56"/>
      <c r="AN191" s="56"/>
      <c r="AO191" s="56"/>
      <c r="AP191" s="58">
        <f t="shared" si="6"/>
        <v>25</v>
      </c>
      <c r="AQ191" s="71">
        <f t="shared" si="7"/>
        <v>18.647999999999996</v>
      </c>
      <c r="AR191" s="71">
        <f>IFERROR(VLOOKUP(A191,Climatologia_TMED!A:U,9+$E$2,FALSE),"")</f>
        <v>17.387219014660609</v>
      </c>
      <c r="AS191" s="71">
        <f t="shared" si="8"/>
        <v>1.2607809853393874</v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26.266666666666669</v>
      </c>
      <c r="L192" s="56">
        <v>24.06666666666667</v>
      </c>
      <c r="M192" s="56">
        <v>25.4</v>
      </c>
      <c r="N192" s="56">
        <v>26</v>
      </c>
      <c r="O192" s="56">
        <v>25.8</v>
      </c>
      <c r="P192" s="56">
        <v>26.533333333333331</v>
      </c>
      <c r="Q192" s="56">
        <v>27.4</v>
      </c>
      <c r="R192" s="56">
        <v>27</v>
      </c>
      <c r="S192" s="56">
        <v>26.6</v>
      </c>
      <c r="T192" s="56">
        <v>26.533333333333331</v>
      </c>
      <c r="U192" s="56">
        <v>27.13333333333334</v>
      </c>
      <c r="V192" s="56">
        <v>25.666666666666671</v>
      </c>
      <c r="W192" s="56">
        <v>26.6</v>
      </c>
      <c r="X192" s="56">
        <v>26.06666666666667</v>
      </c>
      <c r="Y192" s="56">
        <v>26.666666666666671</v>
      </c>
      <c r="Z192" s="56">
        <v>24.733333333333331</v>
      </c>
      <c r="AA192" s="56">
        <v>25.333333333333329</v>
      </c>
      <c r="AB192" s="56">
        <v>26.333333333333329</v>
      </c>
      <c r="AC192" s="56">
        <v>24.533333333333331</v>
      </c>
      <c r="AD192" s="56">
        <v>26.933333333333341</v>
      </c>
      <c r="AE192" s="56">
        <v>26.6</v>
      </c>
      <c r="AF192" s="56">
        <v>26.13333333333334</v>
      </c>
      <c r="AG192" s="56">
        <v>26.333333333333329</v>
      </c>
      <c r="AH192" s="56">
        <v>27.06666666666667</v>
      </c>
      <c r="AI192" s="56">
        <v>26</v>
      </c>
      <c r="AJ192" s="56"/>
      <c r="AK192" s="56"/>
      <c r="AL192" s="56"/>
      <c r="AM192" s="56"/>
      <c r="AN192" s="56"/>
      <c r="AO192" s="56"/>
      <c r="AP192" s="58">
        <f t="shared" si="6"/>
        <v>25</v>
      </c>
      <c r="AQ192" s="71">
        <f t="shared" si="7"/>
        <v>26.149333333333342</v>
      </c>
      <c r="AR192" s="71">
        <f>IFERROR(VLOOKUP(A192,Climatologia_TMED!A:U,9+$E$2,FALSE),"")</f>
        <v>25.244507180818172</v>
      </c>
      <c r="AS192" s="71">
        <f t="shared" si="8"/>
        <v>0.90482615251517018</v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/>
      <c r="L193" s="56">
        <v>25</v>
      </c>
      <c r="M193" s="56">
        <v>24.65</v>
      </c>
      <c r="N193" s="56">
        <v>25.6</v>
      </c>
      <c r="O193" s="56">
        <v>27.35</v>
      </c>
      <c r="P193" s="56">
        <v>29.1</v>
      </c>
      <c r="Q193" s="56">
        <v>29.05</v>
      </c>
      <c r="R193" s="56">
        <v>28.95</v>
      </c>
      <c r="S193" s="56">
        <v>27.25</v>
      </c>
      <c r="T193" s="56">
        <v>26.2</v>
      </c>
      <c r="U193" s="56">
        <v>27.9</v>
      </c>
      <c r="V193" s="56">
        <v>25.4</v>
      </c>
      <c r="W193" s="56">
        <v>27.6</v>
      </c>
      <c r="X193" s="56">
        <v>26.15</v>
      </c>
      <c r="Y193" s="56">
        <v>28.75</v>
      </c>
      <c r="Z193" s="56">
        <v>27.25</v>
      </c>
      <c r="AA193" s="56">
        <v>27.95</v>
      </c>
      <c r="AB193" s="56">
        <v>25.55</v>
      </c>
      <c r="AC193" s="56">
        <v>26.45</v>
      </c>
      <c r="AD193" s="56"/>
      <c r="AE193" s="56"/>
      <c r="AF193" s="56">
        <v>28.05</v>
      </c>
      <c r="AG193" s="56">
        <v>26.5</v>
      </c>
      <c r="AH193" s="56">
        <v>28.5</v>
      </c>
      <c r="AI193" s="56">
        <v>26.7</v>
      </c>
      <c r="AJ193" s="56"/>
      <c r="AK193" s="56"/>
      <c r="AL193" s="56"/>
      <c r="AM193" s="56"/>
      <c r="AN193" s="56"/>
      <c r="AO193" s="56"/>
      <c r="AP193" s="58">
        <f t="shared" si="6"/>
        <v>22</v>
      </c>
      <c r="AQ193" s="71">
        <f t="shared" si="7"/>
        <v>27.086363636363636</v>
      </c>
      <c r="AR193" s="71">
        <f>IFERROR(VLOOKUP(A193,Climatologia_TMED!A:U,9+$E$2,FALSE),"")</f>
        <v>26.35276954000917</v>
      </c>
      <c r="AS193" s="71">
        <f t="shared" si="8"/>
        <v>0.73359409635446582</v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21.86666666666666</v>
      </c>
      <c r="L194" s="56">
        <v>20.266666666666669</v>
      </c>
      <c r="M194" s="56">
        <v>19.600000000000001</v>
      </c>
      <c r="N194" s="56">
        <v>21.2</v>
      </c>
      <c r="O194" s="56">
        <v>21.333333333333329</v>
      </c>
      <c r="P194" s="56">
        <v>22.6</v>
      </c>
      <c r="Q194" s="56">
        <v>22.8</v>
      </c>
      <c r="R194" s="56">
        <v>23.13333333333334</v>
      </c>
      <c r="S194" s="56">
        <v>20.6</v>
      </c>
      <c r="T194" s="56">
        <v>20.8</v>
      </c>
      <c r="U194" s="56">
        <v>22.13333333333334</v>
      </c>
      <c r="V194" s="56">
        <v>19.8</v>
      </c>
      <c r="W194" s="56">
        <v>20.93333333333333</v>
      </c>
      <c r="X194" s="56">
        <v>20.333333333333339</v>
      </c>
      <c r="Y194" s="56">
        <v>22.2</v>
      </c>
      <c r="Z194" s="56">
        <v>21.133333333333329</v>
      </c>
      <c r="AA194" s="56">
        <v>20.93333333333333</v>
      </c>
      <c r="AB194" s="56">
        <v>20.6</v>
      </c>
      <c r="AC194" s="56">
        <v>21.06666666666667</v>
      </c>
      <c r="AD194" s="56">
        <v>21.2</v>
      </c>
      <c r="AE194" s="56">
        <v>20.133333333333329</v>
      </c>
      <c r="AF194" s="56">
        <v>22.666666666666671</v>
      </c>
      <c r="AG194" s="56">
        <v>20.666666666666671</v>
      </c>
      <c r="AH194" s="56">
        <v>21.733333333333331</v>
      </c>
      <c r="AI194" s="56">
        <v>20.733333333333331</v>
      </c>
      <c r="AJ194" s="56"/>
      <c r="AK194" s="56"/>
      <c r="AL194" s="56"/>
      <c r="AM194" s="56"/>
      <c r="AN194" s="56"/>
      <c r="AO194" s="56"/>
      <c r="AP194" s="58">
        <f t="shared" si="6"/>
        <v>25</v>
      </c>
      <c r="AQ194" s="71">
        <f t="shared" si="7"/>
        <v>21.218666666666667</v>
      </c>
      <c r="AR194" s="71">
        <f>IFERROR(VLOOKUP(A194,Climatologia_TMED!A:U,9+$E$2,FALSE),"")</f>
        <v>21.60766179705843</v>
      </c>
      <c r="AS194" s="71">
        <f t="shared" si="8"/>
        <v>-0.3889951303917627</v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29.333333333333329</v>
      </c>
      <c r="L195" s="56">
        <v>26</v>
      </c>
      <c r="M195" s="56">
        <v>26.93333333333333</v>
      </c>
      <c r="N195" s="56">
        <v>26</v>
      </c>
      <c r="O195" s="56">
        <v>28.666666666666671</v>
      </c>
      <c r="P195" s="56">
        <v>29.2</v>
      </c>
      <c r="Q195" s="56">
        <v>28.86666666666666</v>
      </c>
      <c r="R195" s="56">
        <v>28.066666666666659</v>
      </c>
      <c r="S195" s="56">
        <v>26.13333333333334</v>
      </c>
      <c r="T195" s="56">
        <v>28.4</v>
      </c>
      <c r="U195" s="56">
        <v>28.8</v>
      </c>
      <c r="V195" s="56">
        <v>26.13333333333334</v>
      </c>
      <c r="W195" s="56">
        <v>29.06666666666667</v>
      </c>
      <c r="X195" s="56">
        <v>27.533333333333331</v>
      </c>
      <c r="Y195" s="56">
        <v>28.86666666666666</v>
      </c>
      <c r="Z195" s="56">
        <v>30.13333333333334</v>
      </c>
      <c r="AA195" s="56">
        <v>30.13333333333334</v>
      </c>
      <c r="AB195" s="56">
        <v>29.533333333333331</v>
      </c>
      <c r="AC195" s="56">
        <v>27.666666666666671</v>
      </c>
      <c r="AD195" s="56">
        <v>26.2</v>
      </c>
      <c r="AE195" s="56">
        <v>25.666666666666671</v>
      </c>
      <c r="AF195" s="56">
        <v>27.13333333333334</v>
      </c>
      <c r="AG195" s="56">
        <v>25.06666666666667</v>
      </c>
      <c r="AH195" s="56">
        <v>26.6</v>
      </c>
      <c r="AI195" s="56">
        <v>26.2</v>
      </c>
      <c r="AJ195" s="56"/>
      <c r="AK195" s="56"/>
      <c r="AL195" s="56"/>
      <c r="AM195" s="56"/>
      <c r="AN195" s="56"/>
      <c r="AO195" s="56"/>
      <c r="AP195" s="58">
        <f t="shared" si="6"/>
        <v>25</v>
      </c>
      <c r="AQ195" s="71">
        <f t="shared" si="7"/>
        <v>27.693333333333335</v>
      </c>
      <c r="AR195" s="71">
        <f>IFERROR(VLOOKUP(A195,Climatologia_TMED!A:U,9+$E$2,FALSE),"")</f>
        <v>25.687488209709759</v>
      </c>
      <c r="AS195" s="71">
        <f t="shared" si="8"/>
        <v>2.0058451236235761</v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22.8</v>
      </c>
      <c r="L196" s="56">
        <v>22.93333333333333</v>
      </c>
      <c r="M196" s="56">
        <v>21</v>
      </c>
      <c r="N196" s="56">
        <v>20.2</v>
      </c>
      <c r="O196" s="56">
        <v>21.86666666666666</v>
      </c>
      <c r="P196" s="56">
        <v>23.133333333333329</v>
      </c>
      <c r="Q196" s="56">
        <v>23.86666666666666</v>
      </c>
      <c r="R196" s="56">
        <v>24.466666666666669</v>
      </c>
      <c r="S196" s="56">
        <v>20.93333333333333</v>
      </c>
      <c r="T196" s="56">
        <v>22.733333333333331</v>
      </c>
      <c r="U196" s="56">
        <v>23.466666666666669</v>
      </c>
      <c r="V196" s="56">
        <v>20.666666666666671</v>
      </c>
      <c r="W196" s="56">
        <v>22.93333333333333</v>
      </c>
      <c r="X196" s="56">
        <v>22.8</v>
      </c>
      <c r="Y196" s="56">
        <v>22.6</v>
      </c>
      <c r="Z196" s="56">
        <v>23.93333333333333</v>
      </c>
      <c r="AA196" s="56">
        <v>23.4</v>
      </c>
      <c r="AB196" s="56">
        <v>22.86666666666666</v>
      </c>
      <c r="AC196" s="56">
        <v>21.6</v>
      </c>
      <c r="AD196" s="56">
        <v>20.133333333333329</v>
      </c>
      <c r="AE196" s="56">
        <v>20.466666666666669</v>
      </c>
      <c r="AF196" s="56">
        <v>22.4</v>
      </c>
      <c r="AG196" s="56">
        <v>20.533333333333331</v>
      </c>
      <c r="AH196" s="56">
        <v>20.6</v>
      </c>
      <c r="AI196" s="56">
        <v>21.733333333333331</v>
      </c>
      <c r="AJ196" s="56"/>
      <c r="AK196" s="56"/>
      <c r="AL196" s="56"/>
      <c r="AM196" s="56"/>
      <c r="AN196" s="56"/>
      <c r="AO196" s="56"/>
      <c r="AP196" s="58">
        <f t="shared" si="6"/>
        <v>25</v>
      </c>
      <c r="AQ196" s="71">
        <f t="shared" si="7"/>
        <v>22.16266666666667</v>
      </c>
      <c r="AR196" s="71">
        <f>IFERROR(VLOOKUP(A196,Climatologia_TMED!A:U,9+$E$2,FALSE),"")</f>
        <v>20.22375647152527</v>
      </c>
      <c r="AS196" s="71">
        <f t="shared" si="8"/>
        <v>1.9389101951413998</v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25.93333333333333</v>
      </c>
      <c r="L197" s="56">
        <v>25.866666666666671</v>
      </c>
      <c r="M197" s="56">
        <v>23.666666666666671</v>
      </c>
      <c r="N197" s="56">
        <v>24.466666666666669</v>
      </c>
      <c r="O197" s="56">
        <v>25.2</v>
      </c>
      <c r="P197" s="56">
        <v>27.266666666666669</v>
      </c>
      <c r="Q197" s="56">
        <v>27.06666666666667</v>
      </c>
      <c r="R197" s="56">
        <v>26.6</v>
      </c>
      <c r="S197" s="56">
        <v>25.266666666666669</v>
      </c>
      <c r="T197" s="56">
        <v>25.6</v>
      </c>
      <c r="U197" s="56">
        <v>26.333333333333329</v>
      </c>
      <c r="V197" s="56">
        <v>24.666666666666671</v>
      </c>
      <c r="W197" s="56">
        <v>26.466666666666669</v>
      </c>
      <c r="X197" s="56">
        <v>26.13333333333334</v>
      </c>
      <c r="Y197" s="56">
        <v>27.13333333333334</v>
      </c>
      <c r="Z197" s="56">
        <v>27.066666666666659</v>
      </c>
      <c r="AA197" s="56">
        <v>27.066666666666659</v>
      </c>
      <c r="AB197" s="56">
        <v>25.266666666666669</v>
      </c>
      <c r="AC197" s="56">
        <v>25.533333333333331</v>
      </c>
      <c r="AD197" s="56">
        <v>24.8</v>
      </c>
      <c r="AE197" s="56">
        <v>26.466666666666669</v>
      </c>
      <c r="AF197" s="56">
        <v>27.2</v>
      </c>
      <c r="AG197" s="56">
        <v>22.933333333333341</v>
      </c>
      <c r="AH197" s="56">
        <v>27.066666666666659</v>
      </c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24</v>
      </c>
      <c r="AQ197" s="71">
        <f t="shared" ref="AQ197:AQ260" si="10">IF(AP197&gt;14,AVERAGE(K197:AO197),"")</f>
        <v>25.877777777777776</v>
      </c>
      <c r="AR197" s="71">
        <f>IFERROR(VLOOKUP(A197,Climatologia_TMED!A:U,9+$E$2,FALSE),"")</f>
        <v>24.127383001170529</v>
      </c>
      <c r="AS197" s="71">
        <f t="shared" ref="AS197:AS260" si="11">IF(OR(AQ197="",AR197=""),"",IFERROR(AQ197-AR197,""))</f>
        <v>1.7503947766072478</v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21.8</v>
      </c>
      <c r="L198" s="56">
        <v>21.05</v>
      </c>
      <c r="M198" s="56">
        <v>20.6</v>
      </c>
      <c r="N198" s="56">
        <v>21.3</v>
      </c>
      <c r="O198" s="56">
        <v>21.5</v>
      </c>
      <c r="P198" s="56">
        <v>22.9</v>
      </c>
      <c r="Q198" s="56">
        <v>22.35</v>
      </c>
      <c r="R198" s="56">
        <v>22.2</v>
      </c>
      <c r="S198" s="56">
        <v>21.25</v>
      </c>
      <c r="T198" s="56">
        <v>21.95</v>
      </c>
      <c r="U198" s="56">
        <v>22.65</v>
      </c>
      <c r="V198" s="56">
        <v>20.399999999999999</v>
      </c>
      <c r="W198" s="56">
        <v>21.4</v>
      </c>
      <c r="X198" s="56">
        <v>21.5</v>
      </c>
      <c r="Y198" s="56">
        <v>22.75</v>
      </c>
      <c r="Z198" s="56">
        <v>22.65</v>
      </c>
      <c r="AA198" s="56">
        <v>22.65</v>
      </c>
      <c r="AB198" s="56">
        <v>21.95</v>
      </c>
      <c r="AC198" s="56">
        <v>21</v>
      </c>
      <c r="AD198" s="56">
        <v>20.2</v>
      </c>
      <c r="AE198" s="56">
        <v>21.65</v>
      </c>
      <c r="AF198" s="56">
        <v>21.45</v>
      </c>
      <c r="AG198" s="56">
        <v>19.600000000000001</v>
      </c>
      <c r="AH198" s="56">
        <v>21.5</v>
      </c>
      <c r="AI198" s="56"/>
      <c r="AJ198" s="56"/>
      <c r="AK198" s="56"/>
      <c r="AL198" s="56"/>
      <c r="AM198" s="56"/>
      <c r="AN198" s="56"/>
      <c r="AO198" s="56"/>
      <c r="AP198" s="58">
        <f t="shared" si="9"/>
        <v>24</v>
      </c>
      <c r="AQ198" s="71">
        <f t="shared" si="10"/>
        <v>21.593749999999996</v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17.06666666666667</v>
      </c>
      <c r="L199" s="56">
        <v>17</v>
      </c>
      <c r="M199" s="56">
        <v>16.533333333333331</v>
      </c>
      <c r="N199" s="56">
        <v>15.66666666666667</v>
      </c>
      <c r="O199" s="56">
        <v>16.466666666666669</v>
      </c>
      <c r="P199" s="56">
        <v>17.333333333333329</v>
      </c>
      <c r="Q199" s="56">
        <v>16.93333333333333</v>
      </c>
      <c r="R199" s="56">
        <v>16.93333333333333</v>
      </c>
      <c r="S199" s="56">
        <v>16.266666666666669</v>
      </c>
      <c r="T199" s="56">
        <v>16.666666666666671</v>
      </c>
      <c r="U199" s="56">
        <v>16.866666666666671</v>
      </c>
      <c r="V199" s="56">
        <v>16.666666666666671</v>
      </c>
      <c r="W199" s="56">
        <v>16</v>
      </c>
      <c r="X199" s="56">
        <v>16.399999999999999</v>
      </c>
      <c r="Y199" s="56">
        <v>17.13333333333334</v>
      </c>
      <c r="Z199" s="56">
        <v>17.333333333333329</v>
      </c>
      <c r="AA199" s="56">
        <v>17.06666666666667</v>
      </c>
      <c r="AB199" s="56">
        <v>15.66666666666667</v>
      </c>
      <c r="AC199" s="56">
        <v>16.466666666666669</v>
      </c>
      <c r="AD199" s="56">
        <v>16.333333333333329</v>
      </c>
      <c r="AE199" s="56">
        <v>16.333333333333329</v>
      </c>
      <c r="AF199" s="56">
        <v>16.866666666666671</v>
      </c>
      <c r="AG199" s="56">
        <v>16.06666666666667</v>
      </c>
      <c r="AH199" s="56">
        <v>16.8</v>
      </c>
      <c r="AI199" s="56"/>
      <c r="AJ199" s="56"/>
      <c r="AK199" s="56"/>
      <c r="AL199" s="56"/>
      <c r="AM199" s="56"/>
      <c r="AN199" s="56"/>
      <c r="AO199" s="56"/>
      <c r="AP199" s="58">
        <f t="shared" si="9"/>
        <v>24</v>
      </c>
      <c r="AQ199" s="71">
        <f t="shared" si="10"/>
        <v>16.619444444444444</v>
      </c>
      <c r="AR199" s="71">
        <f>IFERROR(VLOOKUP(A199,Climatologia_TMED!A:U,9+$E$2,FALSE),"")</f>
        <v>15.78766040619119</v>
      </c>
      <c r="AS199" s="71">
        <f t="shared" si="11"/>
        <v>0.83178403825325375</v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15.25</v>
      </c>
      <c r="L200" s="56">
        <v>12.6</v>
      </c>
      <c r="M200" s="56">
        <v>13.7</v>
      </c>
      <c r="N200" s="56">
        <v>15</v>
      </c>
      <c r="O200" s="56">
        <v>15.45</v>
      </c>
      <c r="P200" s="56">
        <v>13.7</v>
      </c>
      <c r="Q200" s="56">
        <v>17.100000000000001</v>
      </c>
      <c r="R200" s="56">
        <v>16.55</v>
      </c>
      <c r="S200" s="56">
        <v>14.6</v>
      </c>
      <c r="T200" s="56">
        <v>14.2</v>
      </c>
      <c r="U200" s="56">
        <v>13.85</v>
      </c>
      <c r="V200" s="56">
        <v>14.3</v>
      </c>
      <c r="W200" s="56">
        <v>13.4</v>
      </c>
      <c r="X200" s="56">
        <v>14.55</v>
      </c>
      <c r="Y200" s="56">
        <v>15.15</v>
      </c>
      <c r="Z200" s="56">
        <v>16</v>
      </c>
      <c r="AA200" s="56">
        <v>15.3</v>
      </c>
      <c r="AB200" s="56">
        <v>15.1</v>
      </c>
      <c r="AC200" s="56">
        <v>14.6</v>
      </c>
      <c r="AD200" s="56">
        <v>14.3</v>
      </c>
      <c r="AE200" s="56">
        <v>14.5</v>
      </c>
      <c r="AF200" s="56">
        <v>15.65</v>
      </c>
      <c r="AG200" s="56">
        <v>14.4</v>
      </c>
      <c r="AH200" s="56">
        <v>14.9</v>
      </c>
      <c r="AI200" s="56"/>
      <c r="AJ200" s="56"/>
      <c r="AK200" s="56"/>
      <c r="AL200" s="56"/>
      <c r="AM200" s="56"/>
      <c r="AN200" s="56"/>
      <c r="AO200" s="56"/>
      <c r="AP200" s="58">
        <f t="shared" si="9"/>
        <v>24</v>
      </c>
      <c r="AQ200" s="71">
        <f t="shared" si="10"/>
        <v>14.756250000000001</v>
      </c>
      <c r="AR200" s="71">
        <f>IFERROR(VLOOKUP(A200,Climatologia_TMED!A:U,9+$E$2,FALSE),"")</f>
        <v>13.36561246778364</v>
      </c>
      <c r="AS200" s="71">
        <f t="shared" si="11"/>
        <v>1.3906375322163615</v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27.1</v>
      </c>
      <c r="L201" s="56">
        <v>25.55</v>
      </c>
      <c r="M201" s="56">
        <v>24.75</v>
      </c>
      <c r="N201" s="56">
        <v>26.4</v>
      </c>
      <c r="O201" s="56">
        <v>27.55</v>
      </c>
      <c r="P201" s="56">
        <v>28.9</v>
      </c>
      <c r="Q201" s="56">
        <v>28.7</v>
      </c>
      <c r="R201" s="56">
        <v>28</v>
      </c>
      <c r="S201" s="56">
        <v>26.2</v>
      </c>
      <c r="T201" s="56">
        <v>27.6</v>
      </c>
      <c r="U201" s="56">
        <v>27.4</v>
      </c>
      <c r="V201" s="56">
        <v>25.05</v>
      </c>
      <c r="W201" s="56">
        <v>27.8</v>
      </c>
      <c r="X201" s="56">
        <v>27.4</v>
      </c>
      <c r="Y201" s="56">
        <v>28.75</v>
      </c>
      <c r="Z201" s="56">
        <v>29.65</v>
      </c>
      <c r="AA201" s="56">
        <v>29</v>
      </c>
      <c r="AB201" s="56">
        <v>24.9</v>
      </c>
      <c r="AC201" s="56">
        <v>26.15</v>
      </c>
      <c r="AD201" s="56">
        <v>26.5</v>
      </c>
      <c r="AE201" s="56">
        <v>27.4</v>
      </c>
      <c r="AF201" s="56">
        <v>29.2</v>
      </c>
      <c r="AG201" s="56">
        <v>24.15</v>
      </c>
      <c r="AH201" s="56">
        <v>27.4</v>
      </c>
      <c r="AI201" s="56"/>
      <c r="AJ201" s="56"/>
      <c r="AK201" s="56"/>
      <c r="AL201" s="56"/>
      <c r="AM201" s="56"/>
      <c r="AN201" s="56"/>
      <c r="AO201" s="56"/>
      <c r="AP201" s="58">
        <f t="shared" si="9"/>
        <v>24</v>
      </c>
      <c r="AQ201" s="71">
        <f t="shared" si="10"/>
        <v>27.145833333333329</v>
      </c>
      <c r="AR201" s="71">
        <f>IFERROR(VLOOKUP(A201,Climatologia_TMED!A:U,9+$E$2,FALSE),"")</f>
        <v>25.53752926833085</v>
      </c>
      <c r="AS201" s="71">
        <f t="shared" si="11"/>
        <v>1.6083040650024785</v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14.85</v>
      </c>
      <c r="L202" s="56">
        <v>13.1</v>
      </c>
      <c r="M202" s="56">
        <v>13.1</v>
      </c>
      <c r="N202" s="56">
        <v>13.95</v>
      </c>
      <c r="O202" s="56">
        <v>13.8</v>
      </c>
      <c r="P202" s="56">
        <v>13.4</v>
      </c>
      <c r="Q202" s="56">
        <v>13.65</v>
      </c>
      <c r="R202" s="56">
        <v>13.8</v>
      </c>
      <c r="S202" s="56">
        <v>13.75</v>
      </c>
      <c r="T202" s="56">
        <v>13.35</v>
      </c>
      <c r="U202" s="56">
        <v>13.05</v>
      </c>
      <c r="V202" s="56"/>
      <c r="W202" s="56"/>
      <c r="X202" s="56"/>
      <c r="Y202" s="56"/>
      <c r="Z202" s="56"/>
      <c r="AA202" s="56"/>
      <c r="AB202" s="56">
        <v>13.3</v>
      </c>
      <c r="AC202" s="56">
        <v>13.2</v>
      </c>
      <c r="AD202" s="56">
        <v>14.2</v>
      </c>
      <c r="AE202" s="56">
        <v>12.6</v>
      </c>
      <c r="AF202" s="56">
        <v>14.6</v>
      </c>
      <c r="AG202" s="56">
        <v>12.2</v>
      </c>
      <c r="AH202" s="56">
        <v>13.15</v>
      </c>
      <c r="AI202" s="56"/>
      <c r="AJ202" s="56"/>
      <c r="AK202" s="56"/>
      <c r="AL202" s="56"/>
      <c r="AM202" s="56"/>
      <c r="AN202" s="56"/>
      <c r="AO202" s="56"/>
      <c r="AP202" s="58">
        <f t="shared" si="9"/>
        <v>18</v>
      </c>
      <c r="AQ202" s="71">
        <f t="shared" si="10"/>
        <v>13.502777777777776</v>
      </c>
      <c r="AR202" s="71">
        <f>IFERROR(VLOOKUP(A202,Climatologia_TMED!A:U,9+$E$2,FALSE),"")</f>
        <v>12.80356395850392</v>
      </c>
      <c r="AS202" s="71">
        <f t="shared" si="11"/>
        <v>0.69921381927385617</v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14.2</v>
      </c>
      <c r="L203" s="56">
        <v>13.2</v>
      </c>
      <c r="M203" s="56">
        <v>13.33333333333333</v>
      </c>
      <c r="N203" s="56">
        <v>13.8</v>
      </c>
      <c r="O203" s="56">
        <v>14.33333333333333</v>
      </c>
      <c r="P203" s="56">
        <v>15.46666666666667</v>
      </c>
      <c r="Q203" s="56">
        <v>13.6</v>
      </c>
      <c r="R203" s="56">
        <v>14.733333333333331</v>
      </c>
      <c r="S203" s="56"/>
      <c r="T203" s="56"/>
      <c r="U203" s="56">
        <v>14.33333333333333</v>
      </c>
      <c r="V203" s="56">
        <v>13.733333333333331</v>
      </c>
      <c r="W203" s="56">
        <v>13.8</v>
      </c>
      <c r="X203" s="56">
        <v>14.066666666666659</v>
      </c>
      <c r="Y203" s="56">
        <v>14.53333333333333</v>
      </c>
      <c r="Z203" s="56">
        <v>12.53333333333333</v>
      </c>
      <c r="AA203" s="56">
        <v>14.6</v>
      </c>
      <c r="AB203" s="56">
        <v>13.66666666666667</v>
      </c>
      <c r="AC203" s="56">
        <v>14.46666666666667</v>
      </c>
      <c r="AD203" s="56">
        <v>14.6</v>
      </c>
      <c r="AE203" s="56">
        <v>14.2</v>
      </c>
      <c r="AF203" s="56">
        <v>15.2</v>
      </c>
      <c r="AG203" s="56">
        <v>13.133333333333329</v>
      </c>
      <c r="AH203" s="56">
        <v>14.06666666666667</v>
      </c>
      <c r="AI203" s="56"/>
      <c r="AJ203" s="56"/>
      <c r="AK203" s="56"/>
      <c r="AL203" s="56"/>
      <c r="AM203" s="56"/>
      <c r="AN203" s="56"/>
      <c r="AO203" s="56"/>
      <c r="AP203" s="58">
        <f t="shared" si="9"/>
        <v>22</v>
      </c>
      <c r="AQ203" s="71">
        <f t="shared" si="10"/>
        <v>14.072727272727271</v>
      </c>
      <c r="AR203" s="71">
        <f>IFERROR(VLOOKUP(A203,Climatologia_TMED!A:U,9+$E$2,FALSE),"")</f>
        <v>11.97087485048104</v>
      </c>
      <c r="AS203" s="71">
        <f t="shared" si="11"/>
        <v>2.10185242224623</v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>
        <v>11.65</v>
      </c>
      <c r="L204" s="56">
        <v>10.8</v>
      </c>
      <c r="M204" s="56">
        <v>11.05</v>
      </c>
      <c r="N204" s="56">
        <v>11.8</v>
      </c>
      <c r="O204" s="56">
        <v>11.95</v>
      </c>
      <c r="P204" s="56">
        <v>12.3</v>
      </c>
      <c r="Q204" s="56"/>
      <c r="R204" s="56">
        <v>12.05</v>
      </c>
      <c r="S204" s="56"/>
      <c r="T204" s="56">
        <v>13.3</v>
      </c>
      <c r="U204" s="56">
        <v>12.15</v>
      </c>
      <c r="V204" s="56">
        <v>10.3</v>
      </c>
      <c r="W204" s="56">
        <v>11.45</v>
      </c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11</v>
      </c>
      <c r="AQ204" s="71" t="str">
        <f t="shared" si="10"/>
        <v/>
      </c>
      <c r="AR204" s="71">
        <f>IFERROR(VLOOKUP(A204,Climatologia_TMED!A:U,9+$E$2,FALSE),"")</f>
        <v>11.771313220352599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14.3</v>
      </c>
      <c r="L205" s="56">
        <v>13.65</v>
      </c>
      <c r="M205" s="56">
        <v>13.2</v>
      </c>
      <c r="N205" s="56">
        <v>14.25</v>
      </c>
      <c r="O205" s="56">
        <v>14.85</v>
      </c>
      <c r="P205" s="56">
        <v>14.4</v>
      </c>
      <c r="Q205" s="56">
        <v>15.45</v>
      </c>
      <c r="R205" s="56">
        <v>15.2</v>
      </c>
      <c r="S205" s="56">
        <v>13.2</v>
      </c>
      <c r="T205" s="56">
        <v>14</v>
      </c>
      <c r="U205" s="56">
        <v>14.35</v>
      </c>
      <c r="V205" s="56">
        <v>14.5</v>
      </c>
      <c r="W205" s="56">
        <v>14.45</v>
      </c>
      <c r="X205" s="56">
        <v>14.65</v>
      </c>
      <c r="Y205" s="56">
        <v>13.85</v>
      </c>
      <c r="Z205" s="56">
        <v>14.6</v>
      </c>
      <c r="AA205" s="56">
        <v>15</v>
      </c>
      <c r="AB205" s="56">
        <v>15.2</v>
      </c>
      <c r="AC205" s="56">
        <v>13.45</v>
      </c>
      <c r="AD205" s="56">
        <v>14.45</v>
      </c>
      <c r="AE205" s="56">
        <v>15.8</v>
      </c>
      <c r="AF205" s="56">
        <v>14.35</v>
      </c>
      <c r="AG205" s="56">
        <v>14.85</v>
      </c>
      <c r="AH205" s="56">
        <v>15.4</v>
      </c>
      <c r="AI205" s="56"/>
      <c r="AJ205" s="56"/>
      <c r="AK205" s="56"/>
      <c r="AL205" s="56"/>
      <c r="AM205" s="56"/>
      <c r="AN205" s="56"/>
      <c r="AO205" s="56"/>
      <c r="AP205" s="58">
        <f t="shared" si="9"/>
        <v>24</v>
      </c>
      <c r="AQ205" s="71">
        <f t="shared" si="10"/>
        <v>14.475</v>
      </c>
      <c r="AR205" s="71">
        <f>IFERROR(VLOOKUP(A205,Climatologia_TMED!A:U,9+$E$2,FALSE),"")</f>
        <v>13.414894116817671</v>
      </c>
      <c r="AS205" s="71">
        <f t="shared" si="11"/>
        <v>1.0601058831823291</v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13.7</v>
      </c>
      <c r="L206" s="56">
        <v>11.95</v>
      </c>
      <c r="M206" s="56">
        <v>11.6</v>
      </c>
      <c r="N206" s="56">
        <v>13.2</v>
      </c>
      <c r="O206" s="56">
        <v>14.25</v>
      </c>
      <c r="P206" s="56">
        <v>13.2</v>
      </c>
      <c r="Q206" s="56">
        <v>14.6</v>
      </c>
      <c r="R206" s="56">
        <v>14.9</v>
      </c>
      <c r="S206" s="56">
        <v>13.3</v>
      </c>
      <c r="T206" s="56">
        <v>13.45</v>
      </c>
      <c r="U206" s="56"/>
      <c r="V206" s="56">
        <v>13.8</v>
      </c>
      <c r="W206" s="56">
        <v>13.45</v>
      </c>
      <c r="X206" s="56">
        <v>12.4</v>
      </c>
      <c r="Y206" s="56">
        <v>14.05</v>
      </c>
      <c r="Z206" s="56">
        <v>12.9</v>
      </c>
      <c r="AA206" s="56">
        <v>14.7</v>
      </c>
      <c r="AB206" s="56">
        <v>13.7</v>
      </c>
      <c r="AC206" s="56">
        <v>13.75</v>
      </c>
      <c r="AD206" s="56">
        <v>13.2</v>
      </c>
      <c r="AE206" s="56">
        <v>14.75</v>
      </c>
      <c r="AF206" s="56">
        <v>13.75</v>
      </c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21</v>
      </c>
      <c r="AQ206" s="71">
        <f t="shared" si="10"/>
        <v>13.552380952380954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>
        <v>14.93333333333333</v>
      </c>
      <c r="L207" s="56">
        <v>12.8</v>
      </c>
      <c r="M207" s="56">
        <v>14.133333333333329</v>
      </c>
      <c r="N207" s="56"/>
      <c r="O207" s="56"/>
      <c r="P207" s="56">
        <v>15.46666666666667</v>
      </c>
      <c r="Q207" s="56">
        <v>13.66666666666667</v>
      </c>
      <c r="R207" s="56">
        <v>14.6</v>
      </c>
      <c r="S207" s="56">
        <v>14.93333333333333</v>
      </c>
      <c r="T207" s="56">
        <v>13.53333333333333</v>
      </c>
      <c r="U207" s="56">
        <v>13.6</v>
      </c>
      <c r="V207" s="56"/>
      <c r="W207" s="56"/>
      <c r="X207" s="56">
        <v>13.2</v>
      </c>
      <c r="Y207" s="56">
        <v>14.4</v>
      </c>
      <c r="Z207" s="56">
        <v>14.93333333333333</v>
      </c>
      <c r="AA207" s="56">
        <v>15.06666666666667</v>
      </c>
      <c r="AB207" s="56"/>
      <c r="AC207" s="56"/>
      <c r="AD207" s="56"/>
      <c r="AE207" s="56">
        <v>14.93333333333333</v>
      </c>
      <c r="AF207" s="56">
        <v>14.2</v>
      </c>
      <c r="AG207" s="56">
        <v>14.06666666666667</v>
      </c>
      <c r="AH207" s="56">
        <v>14.133333333333329</v>
      </c>
      <c r="AI207" s="56"/>
      <c r="AJ207" s="56"/>
      <c r="AK207" s="56"/>
      <c r="AL207" s="56"/>
      <c r="AM207" s="56"/>
      <c r="AN207" s="56"/>
      <c r="AO207" s="56"/>
      <c r="AP207" s="58">
        <f t="shared" si="9"/>
        <v>17</v>
      </c>
      <c r="AQ207" s="71">
        <f t="shared" si="10"/>
        <v>14.270588235294115</v>
      </c>
      <c r="AR207" s="71">
        <f>IFERROR(VLOOKUP(A207,Climatologia_TMED!A:U,9+$E$2,FALSE),"")</f>
        <v>13.56077580506272</v>
      </c>
      <c r="AS207" s="71">
        <f t="shared" si="11"/>
        <v>0.70981243023139484</v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15.7</v>
      </c>
      <c r="L208" s="56">
        <v>13.25</v>
      </c>
      <c r="M208" s="56">
        <v>14.4</v>
      </c>
      <c r="N208" s="56">
        <v>14.75</v>
      </c>
      <c r="O208" s="56">
        <v>15.2</v>
      </c>
      <c r="P208" s="56">
        <v>15</v>
      </c>
      <c r="Q208" s="56">
        <v>13.55</v>
      </c>
      <c r="R208" s="56"/>
      <c r="S208" s="56">
        <v>14.2</v>
      </c>
      <c r="T208" s="56">
        <v>13.15</v>
      </c>
      <c r="U208" s="56">
        <v>13.6</v>
      </c>
      <c r="V208" s="56">
        <v>14.85</v>
      </c>
      <c r="W208" s="56">
        <v>16.05</v>
      </c>
      <c r="X208" s="56">
        <v>13.15</v>
      </c>
      <c r="Y208" s="56">
        <v>14.75</v>
      </c>
      <c r="Z208" s="56">
        <v>14.85</v>
      </c>
      <c r="AA208" s="56">
        <v>13.95</v>
      </c>
      <c r="AB208" s="56">
        <v>14.5</v>
      </c>
      <c r="AC208" s="56">
        <v>14.85</v>
      </c>
      <c r="AD208" s="56">
        <v>13.75</v>
      </c>
      <c r="AE208" s="56">
        <v>14.7</v>
      </c>
      <c r="AF208" s="56">
        <v>14.15</v>
      </c>
      <c r="AG208" s="56">
        <v>14.65</v>
      </c>
      <c r="AH208" s="56">
        <v>11.2</v>
      </c>
      <c r="AI208" s="56"/>
      <c r="AJ208" s="56"/>
      <c r="AK208" s="56"/>
      <c r="AL208" s="56"/>
      <c r="AM208" s="56"/>
      <c r="AN208" s="56"/>
      <c r="AO208" s="56"/>
      <c r="AP208" s="58">
        <f t="shared" si="9"/>
        <v>23</v>
      </c>
      <c r="AQ208" s="71">
        <f t="shared" si="10"/>
        <v>14.269565217391301</v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10.85</v>
      </c>
      <c r="L209" s="56">
        <v>10.5</v>
      </c>
      <c r="M209" s="56">
        <v>10.95</v>
      </c>
      <c r="N209" s="56">
        <v>11.25</v>
      </c>
      <c r="O209" s="56">
        <v>11.6</v>
      </c>
      <c r="P209" s="56">
        <v>11.2</v>
      </c>
      <c r="Q209" s="56">
        <v>11.4</v>
      </c>
      <c r="R209" s="56">
        <v>11.4</v>
      </c>
      <c r="S209" s="56">
        <v>11.1</v>
      </c>
      <c r="T209" s="56">
        <v>10.9</v>
      </c>
      <c r="U209" s="56">
        <v>10.5</v>
      </c>
      <c r="V209" s="56">
        <v>11</v>
      </c>
      <c r="W209" s="56">
        <v>10.75</v>
      </c>
      <c r="X209" s="56">
        <v>10.35</v>
      </c>
      <c r="Y209" s="56">
        <v>10.8</v>
      </c>
      <c r="Z209" s="56">
        <v>11.3</v>
      </c>
      <c r="AA209" s="56">
        <v>11.65</v>
      </c>
      <c r="AB209" s="56">
        <v>11.65</v>
      </c>
      <c r="AC209" s="56">
        <v>11.2</v>
      </c>
      <c r="AD209" s="56">
        <v>10.85</v>
      </c>
      <c r="AE209" s="56">
        <v>10.75</v>
      </c>
      <c r="AF209" s="56">
        <v>11.05</v>
      </c>
      <c r="AG209" s="56">
        <v>11.6</v>
      </c>
      <c r="AH209" s="56">
        <v>11.35</v>
      </c>
      <c r="AI209" s="56"/>
      <c r="AJ209" s="56"/>
      <c r="AK209" s="56"/>
      <c r="AL209" s="56"/>
      <c r="AM209" s="56"/>
      <c r="AN209" s="56"/>
      <c r="AO209" s="56"/>
      <c r="AP209" s="58">
        <f t="shared" si="9"/>
        <v>24</v>
      </c>
      <c r="AQ209" s="71">
        <f t="shared" si="10"/>
        <v>11.081250000000002</v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15</v>
      </c>
      <c r="L210" s="56">
        <v>14.6</v>
      </c>
      <c r="M210" s="56">
        <v>16.149999999999999</v>
      </c>
      <c r="N210" s="56">
        <v>15.1</v>
      </c>
      <c r="O210" s="56">
        <v>17</v>
      </c>
      <c r="P210" s="56">
        <v>16.350000000000001</v>
      </c>
      <c r="Q210" s="56">
        <v>15.9</v>
      </c>
      <c r="R210" s="56">
        <v>16.899999999999999</v>
      </c>
      <c r="S210" s="56">
        <v>14.8</v>
      </c>
      <c r="T210" s="56">
        <v>15.3</v>
      </c>
      <c r="U210" s="56">
        <v>17.399999999999999</v>
      </c>
      <c r="V210" s="56">
        <v>15.45</v>
      </c>
      <c r="W210" s="56">
        <v>15</v>
      </c>
      <c r="X210" s="56">
        <v>14.6</v>
      </c>
      <c r="Y210" s="56">
        <v>15.75</v>
      </c>
      <c r="Z210" s="56">
        <v>15.4</v>
      </c>
      <c r="AA210" s="56">
        <v>16.899999999999999</v>
      </c>
      <c r="AB210" s="56">
        <v>16</v>
      </c>
      <c r="AC210" s="56">
        <v>16.7</v>
      </c>
      <c r="AD210" s="56">
        <v>15</v>
      </c>
      <c r="AE210" s="56">
        <v>15.55</v>
      </c>
      <c r="AF210" s="56">
        <v>16.45</v>
      </c>
      <c r="AG210" s="56">
        <v>14.95</v>
      </c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23</v>
      </c>
      <c r="AQ210" s="71">
        <f t="shared" si="10"/>
        <v>15.75</v>
      </c>
      <c r="AR210" s="71">
        <f>IFERROR(VLOOKUP(A210,Climatologia_TMED!A:U,9+$E$2,FALSE),"")</f>
        <v>14.32967020528393</v>
      </c>
      <c r="AS210" s="71">
        <f t="shared" si="11"/>
        <v>1.4203297947160696</v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8.6999999999999993</v>
      </c>
      <c r="L211" s="56">
        <v>8.3000000000000007</v>
      </c>
      <c r="M211" s="56">
        <v>7.8</v>
      </c>
      <c r="N211" s="56">
        <v>8.6999999999999993</v>
      </c>
      <c r="O211" s="56">
        <v>8.6999999999999993</v>
      </c>
      <c r="P211" s="56">
        <v>8.65</v>
      </c>
      <c r="Q211" s="56">
        <v>9.3999999999999986</v>
      </c>
      <c r="R211" s="56">
        <v>9.5</v>
      </c>
      <c r="S211" s="56">
        <v>8.8500000000000014</v>
      </c>
      <c r="T211" s="56">
        <v>8.5500000000000007</v>
      </c>
      <c r="U211" s="56">
        <v>8.5500000000000007</v>
      </c>
      <c r="V211" s="56">
        <v>9</v>
      </c>
      <c r="W211" s="56">
        <v>8.65</v>
      </c>
      <c r="X211" s="56">
        <v>8.5500000000000007</v>
      </c>
      <c r="Y211" s="56">
        <v>8.75</v>
      </c>
      <c r="Z211" s="56">
        <v>8.75</v>
      </c>
      <c r="AA211" s="56">
        <v>8.6999999999999993</v>
      </c>
      <c r="AB211" s="56">
        <v>8.6499999999999986</v>
      </c>
      <c r="AC211" s="56">
        <v>8.25</v>
      </c>
      <c r="AD211" s="56">
        <v>8.6999999999999993</v>
      </c>
      <c r="AE211" s="56">
        <v>8.3000000000000007</v>
      </c>
      <c r="AF211" s="56">
        <v>8.85</v>
      </c>
      <c r="AG211" s="56">
        <v>8.1</v>
      </c>
      <c r="AH211" s="56">
        <v>8.15</v>
      </c>
      <c r="AI211" s="56"/>
      <c r="AJ211" s="56"/>
      <c r="AK211" s="56"/>
      <c r="AL211" s="56"/>
      <c r="AM211" s="56"/>
      <c r="AN211" s="56"/>
      <c r="AO211" s="56"/>
      <c r="AP211" s="58">
        <f t="shared" si="9"/>
        <v>24</v>
      </c>
      <c r="AQ211" s="71">
        <f t="shared" si="10"/>
        <v>8.6291666666666647</v>
      </c>
      <c r="AR211" s="71">
        <f>IFERROR(VLOOKUP(A211,Climatologia_TMED!A:U,9+$E$2,FALSE),"")</f>
        <v>8.0801328816903997</v>
      </c>
      <c r="AS211" s="71">
        <f t="shared" si="11"/>
        <v>0.54903378497626498</v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24.15</v>
      </c>
      <c r="L212" s="56">
        <v>25.95</v>
      </c>
      <c r="M212" s="56">
        <v>24.2</v>
      </c>
      <c r="N212" s="56">
        <v>24.25</v>
      </c>
      <c r="O212" s="56">
        <v>24.25</v>
      </c>
      <c r="P212" s="56">
        <v>24.3</v>
      </c>
      <c r="Q212" s="56">
        <v>24.95</v>
      </c>
      <c r="R212" s="56">
        <v>25.2</v>
      </c>
      <c r="S212" s="56">
        <v>25.65</v>
      </c>
      <c r="T212" s="56">
        <v>25.85</v>
      </c>
      <c r="U212" s="56">
        <v>26.55</v>
      </c>
      <c r="V212" s="56">
        <v>26.65</v>
      </c>
      <c r="W212" s="56">
        <v>24.4</v>
      </c>
      <c r="X212" s="56">
        <v>24</v>
      </c>
      <c r="Y212" s="56">
        <v>25.4</v>
      </c>
      <c r="Z212" s="56">
        <v>26.15</v>
      </c>
      <c r="AA212" s="56">
        <v>26.55</v>
      </c>
      <c r="AB212" s="56">
        <v>26.15</v>
      </c>
      <c r="AC212" s="56">
        <v>26.3</v>
      </c>
      <c r="AD212" s="56">
        <v>27.35</v>
      </c>
      <c r="AE212" s="56">
        <v>24.15</v>
      </c>
      <c r="AF212" s="56">
        <v>27.15</v>
      </c>
      <c r="AG212" s="56">
        <v>26.75</v>
      </c>
      <c r="AH212" s="56">
        <v>26.55</v>
      </c>
      <c r="AI212" s="56"/>
      <c r="AJ212" s="56"/>
      <c r="AK212" s="56"/>
      <c r="AL212" s="56"/>
      <c r="AM212" s="56"/>
      <c r="AN212" s="56"/>
      <c r="AO212" s="56"/>
      <c r="AP212" s="58">
        <f t="shared" si="9"/>
        <v>24</v>
      </c>
      <c r="AQ212" s="71">
        <f t="shared" si="10"/>
        <v>25.535416666666659</v>
      </c>
      <c r="AR212" s="71" t="str">
        <f>IFERROR(VLOOKUP(A212,Climatologia_TMED!A:U,9+$E$2,FALSE),"")</f>
        <v/>
      </c>
      <c r="AS212" s="71" t="str">
        <f t="shared" si="11"/>
        <v/>
      </c>
    </row>
  </sheetData>
  <autoFilter ref="AF1:AF212" xr:uid="{00000000-0009-0000-0000-000000000000}"/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2017-06-11T12:02:38Z</cp:lastPrinted>
  <dcterms:created xsi:type="dcterms:W3CDTF">2008-10-19T17:20:03Z</dcterms:created>
  <dcterms:modified xsi:type="dcterms:W3CDTF">2026-07-26T15:18:18Z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2026-07-26T15:18:18Z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cf8ebae6-036e-45e2-88d2-b940950cbbc6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