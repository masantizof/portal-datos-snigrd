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7597456B-DDE2-4EBA-96A3-483CE8F848A8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<sst xmlns="http://schemas.openxmlformats.org/spreadsheetml/2006/main" count="604" uniqueCount="273">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</sst>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D60" sqref="AD60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>
        <v>30.7</v>
      </c>
      <c r="AC5" s="57">
        <v>30.8</v>
      </c>
      <c r="AD5" s="57"/>
      <c r="AE5" s="57"/>
      <c r="AF5" s="57"/>
      <c r="AG5" s="57"/>
      <c r="AH5" s="57"/>
      <c r="AI5" s="57"/>
      <c r="AJ5" s="37">
        <f>+IF(SUM($E5:$AI5)&gt;0,LOOKUP(1000,$E5:$AI5),NA())</f>
        <v>30.8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31.040000000000006</v>
      </c>
      <c r="AP5" s="23">
        <f>IF(AN5&gt;0,IFERROR(AO5-AN5,""),"")</f>
        <v>0.8426282239917775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>
        <v>29.7</v>
      </c>
      <c r="AC6" s="57">
        <v>30.6</v>
      </c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30.6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30.611999999999998</v>
      </c>
      <c r="AP6" s="23">
        <f t="shared" ref="AP6:AP48" si="4">IF(AN6&gt;0,IFERROR(AO6-AN6,""),"")</f>
        <v>-4.2280397022341987E-2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>
        <v>32.700000000000003</v>
      </c>
      <c r="AC7" s="57">
        <v>36.6</v>
      </c>
      <c r="AD7" s="57"/>
      <c r="AE7" s="57"/>
      <c r="AF7" s="57"/>
      <c r="AG7" s="57"/>
      <c r="AH7" s="57"/>
      <c r="AI7" s="57"/>
      <c r="AJ7" s="37">
        <f t="shared" si="0"/>
        <v>36.6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35.468000000000004</v>
      </c>
      <c r="AP7" s="23">
        <f t="shared" si="4"/>
        <v>2.1019839924309309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>
        <v>32.200000000000003</v>
      </c>
      <c r="AC8" s="57">
        <v>33.4</v>
      </c>
      <c r="AD8" s="57"/>
      <c r="AE8" s="57"/>
      <c r="AF8" s="57"/>
      <c r="AG8" s="57"/>
      <c r="AH8" s="57"/>
      <c r="AI8" s="57"/>
      <c r="AJ8" s="37">
        <f t="shared" si="0"/>
        <v>33.4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33.172000000000004</v>
      </c>
      <c r="AP8" s="23">
        <f t="shared" si="4"/>
        <v>0.92295698924731084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>
        <v>34.1</v>
      </c>
      <c r="AC9" s="57">
        <v>33.299999999999997</v>
      </c>
      <c r="AD9" s="57"/>
      <c r="AE9" s="57"/>
      <c r="AF9" s="57"/>
      <c r="AG9" s="57"/>
      <c r="AH9" s="57"/>
      <c r="AI9" s="57"/>
      <c r="AJ9" s="37">
        <f t="shared" si="0"/>
        <v>33.299999999999997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33.771999999999998</v>
      </c>
      <c r="AP9" s="23">
        <f t="shared" si="4"/>
        <v>0.68075386231615198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>
        <v>36.6</v>
      </c>
      <c r="AC10" s="57">
        <v>36.299999999999997</v>
      </c>
      <c r="AD10" s="57"/>
      <c r="AE10" s="57"/>
      <c r="AF10" s="57"/>
      <c r="AG10" s="57"/>
      <c r="AH10" s="57"/>
      <c r="AI10" s="57"/>
      <c r="AJ10" s="37">
        <f t="shared" si="0"/>
        <v>36.299999999999997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35.835999999999991</v>
      </c>
      <c r="AP10" s="23">
        <f t="shared" si="4"/>
        <v>0.45576177233963477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>
        <v>38.799999999999997</v>
      </c>
      <c r="AC11" s="57">
        <v>39.4</v>
      </c>
      <c r="AD11" s="57"/>
      <c r="AE11" s="57"/>
      <c r="AF11" s="57"/>
      <c r="AG11" s="57"/>
      <c r="AH11" s="57"/>
      <c r="AI11" s="57"/>
      <c r="AJ11" s="37">
        <f t="shared" si="0"/>
        <v>39.4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38.039999999999992</v>
      </c>
      <c r="AP11" s="23">
        <f t="shared" si="4"/>
        <v>2.5027159071513907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>
        <v>33.799999999999997</v>
      </c>
      <c r="AC12" s="57">
        <v>33.799999999999997</v>
      </c>
      <c r="AD12" s="57"/>
      <c r="AE12" s="57"/>
      <c r="AF12" s="57"/>
      <c r="AG12" s="57"/>
      <c r="AH12" s="57"/>
      <c r="AI12" s="57"/>
      <c r="AJ12" s="37">
        <f t="shared" si="0"/>
        <v>33.799999999999997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34.671999999999997</v>
      </c>
      <c r="AP12" s="23">
        <f t="shared" si="4"/>
        <v>2.48337585382626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>
        <v>34.4</v>
      </c>
      <c r="AC13" s="57">
        <v>35.4</v>
      </c>
      <c r="AD13" s="57"/>
      <c r="AE13" s="57"/>
      <c r="AF13" s="57"/>
      <c r="AG13" s="57"/>
      <c r="AH13" s="57"/>
      <c r="AI13" s="57"/>
      <c r="AJ13" s="37">
        <f t="shared" si="0"/>
        <v>35.4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35.415999999999997</v>
      </c>
      <c r="AP13" s="23">
        <f t="shared" si="4"/>
        <v>2.0342078853046601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>
        <v>34.4</v>
      </c>
      <c r="AC14" s="57">
        <v>36</v>
      </c>
      <c r="AD14" s="57"/>
      <c r="AE14" s="57"/>
      <c r="AF14" s="57"/>
      <c r="AG14" s="57"/>
      <c r="AH14" s="57"/>
      <c r="AI14" s="57"/>
      <c r="AJ14" s="37">
        <f t="shared" si="0"/>
        <v>36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34.735999999999997</v>
      </c>
      <c r="AP14" s="23">
        <f t="shared" si="4"/>
        <v>1.5110634007857655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>
        <v>32.200000000000003</v>
      </c>
      <c r="AC15" s="57">
        <v>33.4</v>
      </c>
      <c r="AD15" s="57"/>
      <c r="AE15" s="57"/>
      <c r="AF15" s="57"/>
      <c r="AG15" s="57"/>
      <c r="AH15" s="57"/>
      <c r="AI15" s="57"/>
      <c r="AJ15" s="37">
        <f t="shared" si="0"/>
        <v>33.4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31.783999999999995</v>
      </c>
      <c r="AP15" s="23">
        <f t="shared" si="4"/>
        <v>4.8662543920045209E-2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>
        <v>33.6</v>
      </c>
      <c r="AC17" s="57">
        <v>35</v>
      </c>
      <c r="AD17" s="57"/>
      <c r="AE17" s="57"/>
      <c r="AF17" s="57"/>
      <c r="AG17" s="57"/>
      <c r="AH17" s="57"/>
      <c r="AI17" s="57"/>
      <c r="AJ17" s="37">
        <f t="shared" si="0"/>
        <v>35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34.155999999999992</v>
      </c>
      <c r="AP17" s="23">
        <f>IF(AN17&gt;0,IFERROR(AO17-AN17,""),"")</f>
        <v>1.4820177975528352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>
        <v>27.5</v>
      </c>
      <c r="AC18" s="57">
        <v>28.2</v>
      </c>
      <c r="AD18" s="57"/>
      <c r="AE18" s="57"/>
      <c r="AF18" s="57"/>
      <c r="AG18" s="57"/>
      <c r="AH18" s="57"/>
      <c r="AI18" s="57"/>
      <c r="AJ18" s="37">
        <f t="shared" si="0"/>
        <v>28.2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27.852000000000007</v>
      </c>
      <c r="AP18" s="23">
        <f t="shared" si="4"/>
        <v>1.7921291460431377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>
        <v>35.299999999999997</v>
      </c>
      <c r="AC19" s="57">
        <v>34</v>
      </c>
      <c r="AD19" s="57"/>
      <c r="AE19" s="57"/>
      <c r="AF19" s="57"/>
      <c r="AG19" s="57"/>
      <c r="AH19" s="57"/>
      <c r="AI19" s="57"/>
      <c r="AJ19" s="37">
        <f t="shared" si="0"/>
        <v>34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33.695999999999998</v>
      </c>
      <c r="AP19" s="23">
        <f t="shared" si="4"/>
        <v>0.44503759733035508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>
        <v>30.3</v>
      </c>
      <c r="AC20" s="57">
        <v>30.6</v>
      </c>
      <c r="AD20" s="57"/>
      <c r="AE20" s="57"/>
      <c r="AF20" s="57"/>
      <c r="AG20" s="57"/>
      <c r="AH20" s="57"/>
      <c r="AI20" s="57"/>
      <c r="AJ20" s="37">
        <f t="shared" si="0"/>
        <v>30.6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30.216000000000005</v>
      </c>
      <c r="AP20" s="23">
        <f t="shared" si="4"/>
        <v>1.5751954022988564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>
        <v>23.5</v>
      </c>
      <c r="AC21" s="57">
        <v>23.9</v>
      </c>
      <c r="AD21" s="57"/>
      <c r="AE21" s="57"/>
      <c r="AF21" s="57"/>
      <c r="AG21" s="57"/>
      <c r="AH21" s="57"/>
      <c r="AI21" s="57"/>
      <c r="AJ21" s="37">
        <f t="shared" si="0"/>
        <v>23.9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24.251999999999995</v>
      </c>
      <c r="AP21" s="23">
        <f t="shared" si="4"/>
        <v>1.6424968483500244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>
        <v>28.2</v>
      </c>
      <c r="AC23" s="57">
        <v>28.8</v>
      </c>
      <c r="AD23" s="57"/>
      <c r="AE23" s="57"/>
      <c r="AF23" s="57"/>
      <c r="AG23" s="57"/>
      <c r="AH23" s="57"/>
      <c r="AI23" s="57"/>
      <c r="AJ23" s="37">
        <f t="shared" si="0"/>
        <v>28.8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28.592000000000002</v>
      </c>
      <c r="AP23" s="23">
        <f t="shared" si="4"/>
        <v>1.7236129032258027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>
        <v>29.6</v>
      </c>
      <c r="AC24" s="57">
        <v>28.6</v>
      </c>
      <c r="AD24" s="57"/>
      <c r="AE24" s="57"/>
      <c r="AF24" s="57"/>
      <c r="AG24" s="57"/>
      <c r="AH24" s="57"/>
      <c r="AI24" s="57"/>
      <c r="AJ24" s="37">
        <f t="shared" si="0"/>
        <v>28.6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29.516000000000005</v>
      </c>
      <c r="AP24" s="23">
        <f t="shared" si="4"/>
        <v>1.2641758832565237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>
        <v>33.700000000000003</v>
      </c>
      <c r="AC25" s="57">
        <v>32.6</v>
      </c>
      <c r="AD25" s="57"/>
      <c r="AE25" s="57"/>
      <c r="AF25" s="57"/>
      <c r="AG25" s="57"/>
      <c r="AH25" s="57"/>
      <c r="AI25" s="57"/>
      <c r="AJ25" s="37">
        <f t="shared" si="0"/>
        <v>32.6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32.420000000000009</v>
      </c>
      <c r="AP25" s="23">
        <f t="shared" si="4"/>
        <v>2.0441346067789397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>
        <v>20</v>
      </c>
      <c r="AC26" s="57">
        <v>19.8</v>
      </c>
      <c r="AD26" s="57"/>
      <c r="AE26" s="57"/>
      <c r="AF26" s="57"/>
      <c r="AG26" s="57"/>
      <c r="AH26" s="57"/>
      <c r="AI26" s="57"/>
      <c r="AJ26" s="37">
        <f t="shared" si="0"/>
        <v>19.8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19.720000000000002</v>
      </c>
      <c r="AP26" s="23">
        <f t="shared" si="4"/>
        <v>1.1771283925566429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>
        <v>18.899999999999999</v>
      </c>
      <c r="AC27" s="57"/>
      <c r="AD27" s="57"/>
      <c r="AE27" s="57"/>
      <c r="AF27" s="57"/>
      <c r="AG27" s="57"/>
      <c r="AH27" s="57"/>
      <c r="AI27" s="57"/>
      <c r="AJ27" s="37">
        <f t="shared" si="0"/>
        <v>18.899999999999999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18.799999999999997</v>
      </c>
      <c r="AP27" s="23">
        <f t="shared" si="4"/>
        <v>2.1179494558916083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>
        <v>33.700000000000003</v>
      </c>
      <c r="AC28" s="57">
        <v>31.4</v>
      </c>
      <c r="AD28" s="57"/>
      <c r="AE28" s="57"/>
      <c r="AF28" s="57"/>
      <c r="AG28" s="57"/>
      <c r="AH28" s="57"/>
      <c r="AI28" s="57"/>
      <c r="AJ28" s="37">
        <f t="shared" si="0"/>
        <v>31.4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31.980000000000004</v>
      </c>
      <c r="AP28" s="23">
        <f t="shared" si="4"/>
        <v>1.4515473983438447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>
        <v>37</v>
      </c>
      <c r="AC30" s="57">
        <v>35.299999999999997</v>
      </c>
      <c r="AD30" s="57"/>
      <c r="AE30" s="57"/>
      <c r="AF30" s="57"/>
      <c r="AG30" s="57"/>
      <c r="AH30" s="57"/>
      <c r="AI30" s="57"/>
      <c r="AJ30" s="37">
        <f t="shared" si="0"/>
        <v>35.299999999999997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34.812000000000005</v>
      </c>
      <c r="AP30" s="23">
        <f t="shared" si="4"/>
        <v>1.0697491039426552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>
        <v>26.2</v>
      </c>
      <c r="AC31" s="57">
        <v>27.6</v>
      </c>
      <c r="AD31" s="57"/>
      <c r="AE31" s="57"/>
      <c r="AF31" s="57"/>
      <c r="AG31" s="57"/>
      <c r="AH31" s="57"/>
      <c r="AI31" s="57"/>
      <c r="AJ31" s="37">
        <f t="shared" si="0"/>
        <v>27.6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27.251999999999999</v>
      </c>
      <c r="AP31" s="23">
        <f t="shared" si="4"/>
        <v>1.8645751628793796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>
        <v>13</v>
      </c>
      <c r="AC32" s="57">
        <v>17.399999999999999</v>
      </c>
      <c r="AD32" s="57"/>
      <c r="AE32" s="57"/>
      <c r="AF32" s="57"/>
      <c r="AG32" s="57"/>
      <c r="AH32" s="57"/>
      <c r="AI32" s="57"/>
      <c r="AJ32" s="37">
        <f t="shared" si="0"/>
        <v>17.399999999999999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17.816000000000003</v>
      </c>
      <c r="AP32" s="23">
        <f t="shared" si="4"/>
        <v>1.4864622267387517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>
        <v>14.2</v>
      </c>
      <c r="AC33" s="57">
        <v>15.2</v>
      </c>
      <c r="AD33" s="57"/>
      <c r="AE33" s="57"/>
      <c r="AF33" s="57"/>
      <c r="AG33" s="57"/>
      <c r="AH33" s="57"/>
      <c r="AI33" s="57"/>
      <c r="AJ33" s="37">
        <f t="shared" si="0"/>
        <v>15.2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15.691999999999998</v>
      </c>
      <c r="AP33" s="23">
        <f t="shared" si="4"/>
        <v>0.94738746755654901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>
        <v>33.200000000000003</v>
      </c>
      <c r="AC35" s="57">
        <v>33.4</v>
      </c>
      <c r="AD35" s="57"/>
      <c r="AE35" s="57"/>
      <c r="AF35" s="57"/>
      <c r="AG35" s="57"/>
      <c r="AH35" s="57"/>
      <c r="AI35" s="57"/>
      <c r="AJ35" s="37">
        <f t="shared" si="0"/>
        <v>33.4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31.919999999999995</v>
      </c>
      <c r="AP35" s="23">
        <f t="shared" si="4"/>
        <v>0.84730414746543303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>
        <v>32.6</v>
      </c>
      <c r="AC38" s="57">
        <v>30.7</v>
      </c>
      <c r="AD38" s="57"/>
      <c r="AE38" s="57"/>
      <c r="AF38" s="57"/>
      <c r="AG38" s="57"/>
      <c r="AH38" s="57"/>
      <c r="AI38" s="57"/>
      <c r="AJ38" s="37">
        <f t="shared" si="0"/>
        <v>30.7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30.183999999999997</v>
      </c>
      <c r="AP38" s="23">
        <f t="shared" si="4"/>
        <v>0.15497377660741662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>
        <v>32.4</v>
      </c>
      <c r="AC39" s="57">
        <v>33.6</v>
      </c>
      <c r="AD39" s="57"/>
      <c r="AE39" s="57"/>
      <c r="AF39" s="57"/>
      <c r="AG39" s="57"/>
      <c r="AH39" s="57"/>
      <c r="AI39" s="57"/>
      <c r="AJ39" s="37">
        <f t="shared" si="0"/>
        <v>33.6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31.524000000000001</v>
      </c>
      <c r="AP39" s="23">
        <f t="shared" si="4"/>
        <v>0.68086688913608029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>
        <v>32.200000000000003</v>
      </c>
      <c r="AC40" s="57">
        <v>31.8</v>
      </c>
      <c r="AD40" s="57"/>
      <c r="AE40" s="57"/>
      <c r="AF40" s="57"/>
      <c r="AG40" s="57"/>
      <c r="AH40" s="57"/>
      <c r="AI40" s="57"/>
      <c r="AJ40" s="37">
        <f t="shared" si="0"/>
        <v>31.8</v>
      </c>
      <c r="AK40" s="21">
        <f t="shared" si="1"/>
        <v>32.200000000000003</v>
      </c>
      <c r="AL40" s="22">
        <v>33.5</v>
      </c>
      <c r="AM40" s="23">
        <f t="shared" si="2"/>
        <v>-1.2999999999999972</v>
      </c>
      <c r="AN40" s="23">
        <v>28.947548387096781</v>
      </c>
      <c r="AO40" s="23">
        <f t="shared" si="7"/>
        <v>29.891999999999999</v>
      </c>
      <c r="AP40" s="23">
        <f t="shared" si="4"/>
        <v>0.94445161290321877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>
        <v>36</v>
      </c>
      <c r="AC41" s="57">
        <v>31.4</v>
      </c>
      <c r="AD41" s="57"/>
      <c r="AE41" s="57"/>
      <c r="AF41" s="57"/>
      <c r="AG41" s="57"/>
      <c r="AH41" s="57"/>
      <c r="AI41" s="57"/>
      <c r="AJ41" s="37">
        <f t="shared" si="0"/>
        <v>31.4</v>
      </c>
      <c r="AK41" s="21">
        <f t="shared" si="1"/>
        <v>36</v>
      </c>
      <c r="AL41" s="22">
        <v>34.4</v>
      </c>
      <c r="AM41" s="23">
        <f t="shared" si="2"/>
        <v>1.6000000000000014</v>
      </c>
      <c r="AN41" s="23">
        <v>29.366308243727591</v>
      </c>
      <c r="AO41" s="23">
        <f t="shared" si="7"/>
        <v>30.648000000000007</v>
      </c>
      <c r="AP41" s="23">
        <f t="shared" si="4"/>
        <v>1.2816917562724157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>
        <v>32.4</v>
      </c>
      <c r="AC43" s="57">
        <v>32.6</v>
      </c>
      <c r="AD43" s="57"/>
      <c r="AE43" s="57"/>
      <c r="AF43" s="57"/>
      <c r="AG43" s="57"/>
      <c r="AH43" s="57"/>
      <c r="AI43" s="57"/>
      <c r="AJ43" s="37">
        <f t="shared" si="0"/>
        <v>32.6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31.136363636363637</v>
      </c>
      <c r="AP43" s="23">
        <f t="shared" si="4"/>
        <v>1.0753018084066461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>
        <v>32</v>
      </c>
      <c r="AC44" s="29">
        <v>32</v>
      </c>
      <c r="AD44" s="29"/>
      <c r="AE44" s="57"/>
      <c r="AF44" s="57"/>
      <c r="AG44" s="57"/>
      <c r="AH44" s="57"/>
      <c r="AI44" s="57"/>
      <c r="AJ44" s="37">
        <f t="shared" si="0"/>
        <v>32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31.212499999999995</v>
      </c>
      <c r="AP44" s="23">
        <f t="shared" si="4"/>
        <v>2.1693127946395343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>
        <v>33.6</v>
      </c>
      <c r="AC45" s="57">
        <v>33.200000000000003</v>
      </c>
      <c r="AD45" s="57"/>
      <c r="AE45" s="57"/>
      <c r="AF45" s="57"/>
      <c r="AG45" s="57"/>
      <c r="AH45" s="57"/>
      <c r="AI45" s="57"/>
      <c r="AJ45" s="37">
        <f t="shared" si="0"/>
        <v>33.200000000000003</v>
      </c>
      <c r="AK45" s="21">
        <f t="shared" si="1"/>
        <v>33.6</v>
      </c>
      <c r="AL45" s="22">
        <v>34.200000000000003</v>
      </c>
      <c r="AM45" s="23">
        <f t="shared" si="2"/>
        <v>-0.60000000000000142</v>
      </c>
      <c r="AN45" s="23">
        <v>29.54581639287883</v>
      </c>
      <c r="AO45" s="23">
        <f t="shared" si="7"/>
        <v>30.624000000000009</v>
      </c>
      <c r="AP45" s="23">
        <f t="shared" si="4"/>
        <v>1.0781836071211792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>
        <v>29</v>
      </c>
      <c r="AC48" s="57">
        <v>30.2</v>
      </c>
      <c r="AD48" s="57"/>
      <c r="AE48" s="57"/>
      <c r="AF48" s="57"/>
      <c r="AG48" s="57"/>
      <c r="AH48" s="57"/>
      <c r="AI48" s="57"/>
      <c r="AJ48" s="37">
        <f t="shared" si="0"/>
        <v>30.2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30.708000000000002</v>
      </c>
      <c r="AP48" s="23">
        <f t="shared" si="4"/>
        <v>0.36546714456392237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Z3" sqref="Z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2026-07-26T13:42:45Z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