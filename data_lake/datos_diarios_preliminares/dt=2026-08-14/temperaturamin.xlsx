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A792677-C94C-41FD-9A9C-EB739184D535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Temperatura!$X$1:$X$209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W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W202" i="1" s="1"/>
  <c r="AT202" i="1"/>
  <c r="AR202" i="1"/>
  <c r="AP202" i="1"/>
  <c r="AQ202" i="1" s="1"/>
  <c r="AV201" i="1" a="1"/>
  <c r="AV201" i="1" s="1"/>
  <c r="AU201" i="1" a="1"/>
  <c r="AU201" i="1" s="1"/>
  <c r="AT201" i="1"/>
  <c r="AW201" i="1" s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W188" i="1" s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W181" i="1" s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W176" i="1" s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W169" i="1" s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W166" i="1" s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W156" i="1" s="1"/>
  <c r="AR156" i="1"/>
  <c r="AP156" i="1"/>
  <c r="AQ156" i="1" s="1"/>
  <c r="AS156" i="1" s="1"/>
  <c r="AV155" i="1" a="1"/>
  <c r="AV155" i="1" s="1"/>
  <c r="AU155" i="1" a="1"/>
  <c r="AU155" i="1" s="1"/>
  <c r="AT155" i="1"/>
  <c r="AW155" i="1" s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W150" i="1" s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W145" i="1" s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W143" i="1" s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W140" i="1" s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W130" i="1" s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W123" i="1" s="1"/>
  <c r="AR123" i="1"/>
  <c r="AP123" i="1"/>
  <c r="AQ123" i="1" s="1"/>
  <c r="AV122" i="1" a="1"/>
  <c r="AV122" i="1" s="1"/>
  <c r="AU122" i="1" a="1"/>
  <c r="AU122" i="1" s="1"/>
  <c r="AT122" i="1"/>
  <c r="AW122" i="1" s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/>
  <c r="AT120" i="1"/>
  <c r="AW120" i="1" s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W118" i="1" s="1"/>
  <c r="AR118" i="1"/>
  <c r="AP118" i="1"/>
  <c r="AQ118" i="1" s="1"/>
  <c r="AS118" i="1" s="1"/>
  <c r="AV117" i="1" a="1"/>
  <c r="AV117" i="1" s="1"/>
  <c r="AU117" i="1" a="1"/>
  <c r="AU117" i="1" s="1"/>
  <c r="AT117" i="1"/>
  <c r="AW117" i="1" s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W113" i="1" s="1"/>
  <c r="AR113" i="1"/>
  <c r="AQ113" i="1"/>
  <c r="AS113" i="1" s="1"/>
  <c r="AP113" i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W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W97" i="1" s="1"/>
  <c r="AR97" i="1"/>
  <c r="AP97" i="1"/>
  <c r="AQ97" i="1" s="1"/>
  <c r="AS97" i="1" s="1"/>
  <c r="AV96" i="1" a="1"/>
  <c r="AV96" i="1" s="1"/>
  <c r="AU96" i="1" a="1"/>
  <c r="AU96" i="1" s="1"/>
  <c r="AT96" i="1"/>
  <c r="AW96" i="1" s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W91" i="1" s="1"/>
  <c r="AR91" i="1"/>
  <c r="AP91" i="1"/>
  <c r="AQ91" i="1" s="1"/>
  <c r="AS91" i="1" s="1"/>
  <c r="AV90" i="1" a="1"/>
  <c r="AV90" i="1" s="1"/>
  <c r="AU90" i="1" a="1"/>
  <c r="AU90" i="1" s="1"/>
  <c r="AT90" i="1"/>
  <c r="AW90" i="1" s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W85" i="1" s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W72" i="1" s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S70" i="1" s="1"/>
  <c r="AV69" i="1" a="1"/>
  <c r="AV69" i="1" s="1"/>
  <c r="AU69" i="1" a="1"/>
  <c r="AU69" i="1" s="1"/>
  <c r="AT69" i="1"/>
  <c r="AW69" i="1" s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W67" i="1" s="1"/>
  <c r="AR67" i="1"/>
  <c r="AP67" i="1"/>
  <c r="AQ67" i="1" s="1"/>
  <c r="AV66" i="1" a="1"/>
  <c r="AV66" i="1" s="1"/>
  <c r="AU66" i="1" a="1"/>
  <c r="AU66" i="1" s="1"/>
  <c r="AT66" i="1"/>
  <c r="AW66" i="1" s="1"/>
  <c r="AR66" i="1"/>
  <c r="AP66" i="1"/>
  <c r="AQ66" i="1" s="1"/>
  <c r="AV65" i="1" a="1"/>
  <c r="AV65" i="1" s="1"/>
  <c r="AU65" i="1" a="1"/>
  <c r="AU65" i="1" s="1"/>
  <c r="AT65" i="1"/>
  <c r="AW65" i="1" s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W63" i="1" s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/>
  <c r="AT56" i="1"/>
  <c r="AW56" i="1" s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W52" i="1" s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W50" i="1" s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W35" i="1" s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W31" i="1" s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W19" i="1" s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W16" i="1" s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 s="1"/>
  <c r="AT13" i="1"/>
  <c r="AW13" i="1" s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W9" i="1" s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8" i="1" l="1"/>
  <c r="AW20" i="1"/>
  <c r="AS33" i="1"/>
  <c r="AW45" i="1"/>
  <c r="AS58" i="1"/>
  <c r="AS109" i="1"/>
  <c r="AS134" i="1"/>
  <c r="AW184" i="1"/>
  <c r="AW8" i="1"/>
  <c r="AW58" i="1"/>
  <c r="AS84" i="1"/>
  <c r="AW109" i="1"/>
  <c r="AS160" i="1"/>
  <c r="AS197" i="1"/>
  <c r="AW172" i="1"/>
  <c r="AS122" i="1"/>
  <c r="AS185" i="1"/>
  <c r="AS85" i="1"/>
  <c r="AW110" i="1"/>
  <c r="AW135" i="1"/>
  <c r="AW148" i="1"/>
  <c r="AW174" i="1"/>
  <c r="AW162" i="1"/>
  <c r="AW199" i="1"/>
  <c r="AW137" i="1"/>
  <c r="AS23" i="1"/>
  <c r="AW175" i="1"/>
  <c r="AW47" i="1"/>
  <c r="AS125" i="1"/>
  <c r="AW163" i="1"/>
  <c r="AS200" i="1"/>
  <c r="AS137" i="1"/>
  <c r="AW24" i="1"/>
  <c r="AS37" i="1"/>
  <c r="AW62" i="1"/>
  <c r="AS164" i="1"/>
  <c r="AW22" i="1"/>
  <c r="AS101" i="1"/>
  <c r="AW164" i="1"/>
  <c r="AS201" i="1"/>
  <c r="AS21" i="1"/>
  <c r="AS76" i="1"/>
  <c r="AW101" i="1"/>
  <c r="AS114" i="1"/>
  <c r="AW126" i="1"/>
  <c r="AS152" i="1"/>
  <c r="AS34" i="1"/>
  <c r="AS51" i="1"/>
  <c r="AW76" i="1"/>
  <c r="AS89" i="1"/>
  <c r="AW152" i="1"/>
  <c r="AS165" i="1"/>
  <c r="AW177" i="1"/>
  <c r="AS39" i="1"/>
  <c r="AW51" i="1"/>
  <c r="AS64" i="1"/>
  <c r="AS140" i="1"/>
  <c r="AW102" i="1"/>
  <c r="AS115" i="1"/>
  <c r="AW127" i="1"/>
  <c r="AS153" i="1"/>
  <c r="AS190" i="1"/>
  <c r="AW46" i="1"/>
  <c r="AS60" i="1"/>
  <c r="AW77" i="1"/>
  <c r="AS90" i="1"/>
  <c r="AW115" i="1"/>
  <c r="AW84" i="1"/>
  <c r="AW59" i="1"/>
  <c r="AW14" i="1"/>
  <c r="AS27" i="1"/>
  <c r="AS103" i="1"/>
  <c r="AS128" i="1"/>
  <c r="AW27" i="1"/>
  <c r="AS78" i="1"/>
  <c r="AS154" i="1"/>
  <c r="AS191" i="1"/>
  <c r="AW141" i="1"/>
  <c r="AS104" i="1"/>
  <c r="AS129" i="1"/>
  <c r="AS79" i="1"/>
  <c r="AS192" i="1"/>
  <c r="AS180" i="1"/>
  <c r="AS143" i="1"/>
  <c r="AS193" i="1"/>
  <c r="AW21" i="1"/>
  <c r="AW28" i="1"/>
  <c r="AS81" i="1"/>
  <c r="AW93" i="1"/>
  <c r="AS119" i="1"/>
  <c r="AW131" i="1"/>
  <c r="AS157" i="1"/>
  <c r="AS194" i="1"/>
  <c r="AW206" i="1"/>
  <c r="AW42" i="1"/>
  <c r="AS182" i="1"/>
  <c r="AW15" i="1"/>
  <c r="AW81" i="1"/>
  <c r="AS107" i="1"/>
  <c r="AS132" i="1"/>
  <c r="AW182" i="1"/>
  <c r="AS145" i="1"/>
  <c r="AS195" i="1"/>
  <c r="AW207" i="1"/>
  <c r="AW40" i="1"/>
  <c r="AS7" i="1"/>
  <c r="AS171" i="1"/>
  <c r="AS208" i="1"/>
  <c r="AW95" i="1"/>
  <c r="AW183" i="1"/>
  <c r="AW57" i="1"/>
  <c r="AS83" i="1"/>
  <c r="AW108" i="1"/>
  <c r="AW133" i="1"/>
  <c r="AS159" i="1"/>
  <c r="AS196" i="1"/>
  <c r="AS15" i="1"/>
  <c r="AW43" i="1"/>
  <c r="AW83" i="1"/>
  <c r="AS96" i="1"/>
  <c r="AS184" i="1"/>
  <c r="AW196" i="1"/>
  <c r="AW68" i="1"/>
  <c r="AP2" i="1"/>
  <c r="AS74" i="1"/>
  <c r="AW86" i="1"/>
  <c r="AW111" i="1"/>
  <c r="AW136" i="1"/>
  <c r="AW161" i="1"/>
  <c r="AW173" i="1"/>
  <c r="AW185" i="1"/>
  <c r="AW49" i="1"/>
  <c r="AW197" i="1"/>
  <c r="AW61" i="1"/>
  <c r="AS12" i="1"/>
  <c r="AW37" i="1"/>
  <c r="AW74" i="1"/>
  <c r="AS87" i="1"/>
  <c r="AW99" i="1"/>
  <c r="AS62" i="1"/>
  <c r="AW124" i="1"/>
  <c r="AW149" i="1"/>
  <c r="AS186" i="1"/>
  <c r="AW186" i="1"/>
  <c r="AS198" i="1"/>
  <c r="AW87" i="1"/>
  <c r="AW100" i="1"/>
  <c r="AS138" i="1"/>
  <c r="AS163" i="1"/>
  <c r="AS175" i="1"/>
  <c r="AW12" i="1"/>
  <c r="AW198" i="1"/>
  <c r="AW112" i="1"/>
  <c r="AW125" i="1"/>
  <c r="AW88" i="1"/>
  <c r="AW138" i="1"/>
  <c r="AW26" i="1"/>
  <c r="AS126" i="1"/>
  <c r="AS151" i="1"/>
  <c r="AW187" i="1"/>
  <c r="AS199" i="1"/>
  <c r="AW75" i="1"/>
  <c r="AW151" i="1"/>
  <c r="AS40" i="1"/>
  <c r="AS52" i="1"/>
  <c r="AW64" i="1"/>
  <c r="AS77" i="1"/>
  <c r="AS102" i="1"/>
  <c r="AW114" i="1"/>
  <c r="AW139" i="1"/>
  <c r="AS13" i="1"/>
  <c r="AW200" i="1"/>
  <c r="AW189" i="1"/>
  <c r="AW39" i="1"/>
  <c r="AS66" i="1"/>
  <c r="AS116" i="1"/>
  <c r="AW128" i="1"/>
  <c r="AW153" i="1"/>
  <c r="AS166" i="1"/>
  <c r="AW25" i="1"/>
  <c r="AW89" i="1"/>
  <c r="AS17" i="1"/>
  <c r="AW29" i="1"/>
  <c r="AW54" i="1"/>
  <c r="AW79" i="1"/>
  <c r="AW104" i="1"/>
  <c r="AW178" i="1"/>
  <c r="AW190" i="1"/>
  <c r="AS202" i="1"/>
  <c r="AS67" i="1"/>
  <c r="AS117" i="1"/>
  <c r="AW129" i="1"/>
  <c r="AW154" i="1"/>
  <c r="AS167" i="1"/>
  <c r="AW165" i="1"/>
  <c r="AW38" i="1"/>
  <c r="AS43" i="1"/>
  <c r="AS55" i="1"/>
  <c r="AW167" i="1"/>
  <c r="AS179" i="1"/>
  <c r="AW5" i="1"/>
  <c r="AW30" i="1"/>
  <c r="AW92" i="1"/>
  <c r="AS130" i="1"/>
  <c r="AW142" i="1"/>
  <c r="AS155" i="1"/>
  <c r="AW179" i="1"/>
  <c r="AW191" i="1"/>
  <c r="AS203" i="1"/>
  <c r="AS168" i="1"/>
  <c r="AW168" i="1"/>
  <c r="AS204" i="1"/>
  <c r="AW204" i="1"/>
  <c r="AS205" i="1"/>
  <c r="AW55" i="1"/>
  <c r="AW71" i="1"/>
  <c r="AS121" i="1"/>
  <c r="AS146" i="1"/>
  <c r="AS183" i="1"/>
  <c r="AW170" i="1"/>
  <c r="AW171" i="1"/>
  <c r="AS22" i="1"/>
  <c r="AS47" i="1"/>
  <c r="AS59" i="1"/>
  <c r="AW121" i="1"/>
  <c r="AW146" i="1"/>
  <c r="AS207" i="1"/>
  <c r="AW6" i="1"/>
  <c r="AW7" i="1"/>
  <c r="AW119" i="1"/>
  <c r="AS131" i="1"/>
  <c r="AW10" i="1"/>
  <c r="AW160" i="1"/>
  <c r="AS11" i="1"/>
  <c r="AW23" i="1"/>
  <c r="AS36" i="1"/>
  <c r="AW48" i="1"/>
  <c r="AW60" i="1"/>
  <c r="AW208" i="1"/>
  <c r="AW107" i="1"/>
  <c r="AW157" i="1"/>
  <c r="AS123" i="1"/>
  <c r="AS148" i="1"/>
  <c r="AW11" i="1"/>
  <c r="AS86" i="1"/>
  <c r="AS111" i="1"/>
  <c r="AS136" i="1"/>
  <c r="AS161" i="1"/>
  <c r="AS173" i="1"/>
  <c r="AW41" i="1"/>
  <c r="AW53" i="1"/>
  <c r="AW78" i="1"/>
  <c r="AW103" i="1"/>
  <c r="AW116" i="1"/>
  <c r="AW17" i="1"/>
  <c r="AW80" i="1"/>
  <c r="AW105" i="1"/>
  <c r="AW18" i="1"/>
  <c r="AW203" i="1"/>
  <c r="AW180" i="1"/>
  <c r="AW192" i="1"/>
  <c r="AW32" i="1"/>
  <c r="AW94" i="1"/>
  <c r="AW144" i="1"/>
  <c r="AW82" i="1"/>
  <c r="AW132" i="1"/>
  <c r="AW193" i="1"/>
  <c r="AW70" i="1"/>
  <c r="AW158" i="1"/>
  <c r="AW194" i="1"/>
  <c r="AW44" i="1"/>
  <c r="AW134" i="1"/>
  <c r="AW159" i="1"/>
  <c r="AW195" i="1"/>
  <c r="AW33" i="1"/>
  <c r="AW147" i="1"/>
  <c r="AW73" i="1"/>
  <c r="AW34" i="1"/>
  <c r="AW36" i="1"/>
  <c r="AW98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<sst xmlns="http://schemas.openxmlformats.org/spreadsheetml/2006/main" count="3544" uniqueCount="1272">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</sst>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A173" zoomScale="80" zoomScaleNormal="80" workbookViewId="0">
      <selection activeCell="A162" sqref="A162:XFD171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52" width="32.42578125" style="74" customWidth="1"/>
    <col min="153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2.6</v>
      </c>
      <c r="X2" s="89">
        <f t="shared" si="0"/>
        <v>3.4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>
        <v>28.2</v>
      </c>
      <c r="X5" s="51">
        <v>27.2</v>
      </c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14</v>
      </c>
      <c r="AQ5" s="89" t="str">
        <f t="shared" ref="AQ5:AQ68" si="2">IF(AP5&gt;14,AVERAGE(K5:AO5),"")</f>
        <v/>
      </c>
      <c r="AR5" s="89">
        <f>IFERROR(VLOOKUP(A5,Climatologia!A:U,9+$E$2,FALSE),"")</f>
        <v>26.259288578530331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>
        <v>27.8</v>
      </c>
      <c r="X6" s="51">
        <v>27.7</v>
      </c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14</v>
      </c>
      <c r="AQ6" s="89" t="str">
        <f t="shared" si="2"/>
        <v/>
      </c>
      <c r="AR6" s="89">
        <f>IFERROR(VLOOKUP(A6,Climatologia!A:U,9+$E$2,FALSE),"")</f>
        <v>26.228813072776621</v>
      </c>
      <c r="AS6" s="89" t="str">
        <f t="shared" si="3"/>
        <v/>
      </c>
      <c r="AT6" s="90">
        <f t="shared" si="4"/>
        <v>26.2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5.8000000000000007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>
        <v>26.6</v>
      </c>
      <c r="X7" s="51">
        <v>26.2</v>
      </c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14</v>
      </c>
      <c r="AQ7" s="89" t="str">
        <f t="shared" si="2"/>
        <v/>
      </c>
      <c r="AR7" s="89">
        <f>IFERROR(VLOOKUP(A7,Climatologia!A:U,9+$E$2,FALSE),"")</f>
        <v>24.806006674082301</v>
      </c>
      <c r="AS7" s="89" t="str">
        <f t="shared" si="3"/>
        <v/>
      </c>
      <c r="AT7" s="90">
        <f t="shared" si="4"/>
        <v>25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4.3999999999999986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>
        <v>26.9</v>
      </c>
      <c r="X8" s="51">
        <v>27.4</v>
      </c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14</v>
      </c>
      <c r="AQ8" s="89" t="str">
        <f t="shared" si="2"/>
        <v/>
      </c>
      <c r="AR8" s="89">
        <f>IFERROR(VLOOKUP(A8,Climatologia!A:U,9+$E$2,FALSE),"")</f>
        <v>25.86230323116423</v>
      </c>
      <c r="AS8" s="89" t="str">
        <f t="shared" si="3"/>
        <v/>
      </c>
      <c r="AT8" s="90">
        <f t="shared" si="4"/>
        <v>25.4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5.1999999999999993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>
        <v>25.5</v>
      </c>
      <c r="X9" s="51">
        <v>25.6</v>
      </c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14</v>
      </c>
      <c r="AQ9" s="89" t="str">
        <f t="shared" si="2"/>
        <v/>
      </c>
      <c r="AR9" s="89">
        <f>IFERROR(VLOOKUP(A9,Climatologia!A:U,9+$E$2,FALSE),"")</f>
        <v>24.75295901904628</v>
      </c>
      <c r="AS9" s="89" t="str">
        <f t="shared" si="3"/>
        <v/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>
        <v>28.4</v>
      </c>
      <c r="X10" s="51">
        <v>28.6</v>
      </c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14</v>
      </c>
      <c r="AQ10" s="89" t="str">
        <f t="shared" si="2"/>
        <v/>
      </c>
      <c r="AR10" s="89">
        <f>IFERROR(VLOOKUP(A10,Climatologia!A:U,9+$E$2,FALSE),"")</f>
        <v>25.518421261719372</v>
      </c>
      <c r="AS10" s="89" t="str">
        <f t="shared" si="3"/>
        <v/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>
        <v>27.2</v>
      </c>
      <c r="X11" s="51">
        <v>27.8</v>
      </c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14</v>
      </c>
      <c r="AQ11" s="89" t="str">
        <f t="shared" si="2"/>
        <v/>
      </c>
      <c r="AR11" s="89">
        <f>IFERROR(VLOOKUP(A11,Climatologia!A:U,9+$E$2,FALSE),"")</f>
        <v>24.333982334869429</v>
      </c>
      <c r="AS11" s="89" t="str">
        <f t="shared" si="3"/>
        <v/>
      </c>
      <c r="AT11" s="90">
        <f t="shared" si="4"/>
        <v>24.6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4.6000000000000014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>
        <v>27.2</v>
      </c>
      <c r="X12" s="51">
        <v>24.9</v>
      </c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14</v>
      </c>
      <c r="AQ12" s="89" t="str">
        <f t="shared" si="2"/>
        <v/>
      </c>
      <c r="AR12" s="89">
        <f>IFERROR(VLOOKUP(A12,Climatologia!A:U,9+$E$2,FALSE),"")</f>
        <v>23.252867103531361</v>
      </c>
      <c r="AS12" s="89" t="str">
        <f t="shared" si="3"/>
        <v/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>
        <v>26.4</v>
      </c>
      <c r="X13" s="51">
        <v>24.1</v>
      </c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14</v>
      </c>
      <c r="AQ13" s="89" t="str">
        <f t="shared" si="2"/>
        <v/>
      </c>
      <c r="AR13" s="89">
        <f>IFERROR(VLOOKUP(A13,Climatologia!A:U,9+$E$2,FALSE),"")</f>
        <v>23.256381449473771</v>
      </c>
      <c r="AS13" s="89" t="str">
        <f t="shared" si="3"/>
        <v/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>
        <v>19.7</v>
      </c>
      <c r="X14" s="51">
        <v>20.8</v>
      </c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14</v>
      </c>
      <c r="AQ14" s="89" t="str">
        <f t="shared" si="2"/>
        <v/>
      </c>
      <c r="AR14" s="89">
        <f>IFERROR(VLOOKUP(A14,Climatologia!A:U,9+$E$2,FALSE),"")</f>
        <v>18.604610712863401</v>
      </c>
      <c r="AS14" s="89" t="str">
        <f t="shared" si="3"/>
        <v/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>
        <v>28.2</v>
      </c>
      <c r="X15" s="51">
        <v>25</v>
      </c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14</v>
      </c>
      <c r="AQ15" s="89" t="str">
        <f t="shared" si="2"/>
        <v/>
      </c>
      <c r="AR15" s="89">
        <f>IFERROR(VLOOKUP(A15,Climatologia!A:U,9+$E$2,FALSE),"")</f>
        <v>23.891303077493511</v>
      </c>
      <c r="AS15" s="89" t="str">
        <f t="shared" si="3"/>
        <v/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>
        <v>25.7</v>
      </c>
      <c r="X16" s="51">
        <v>26.7</v>
      </c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14</v>
      </c>
      <c r="AQ16" s="89" t="str">
        <f t="shared" si="2"/>
        <v/>
      </c>
      <c r="AR16" s="89">
        <f>IFERROR(VLOOKUP(A16,Climatologia!A:U,9+$E$2,FALSE),"")</f>
        <v>23.404404619673439</v>
      </c>
      <c r="AS16" s="89" t="str">
        <f t="shared" si="3"/>
        <v/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>
        <v>19.5</v>
      </c>
      <c r="X17" s="51">
        <v>19.7</v>
      </c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14</v>
      </c>
      <c r="AQ17" s="89" t="str">
        <f t="shared" si="2"/>
        <v/>
      </c>
      <c r="AR17" s="89">
        <f>IFERROR(VLOOKUP(A17,Climatologia!A:U,9+$E$2,FALSE),"")</f>
        <v>17.58853046594982</v>
      </c>
      <c r="AS17" s="89" t="str">
        <f t="shared" si="3"/>
        <v/>
      </c>
      <c r="AT17" s="90">
        <f t="shared" si="4"/>
        <v>18.399999999999999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6.9999999999999982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>
        <v>12.8</v>
      </c>
      <c r="X18" s="51">
        <v>13.9</v>
      </c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14</v>
      </c>
      <c r="AQ18" s="89" t="str">
        <f t="shared" si="2"/>
        <v/>
      </c>
      <c r="AR18" s="89">
        <f>IFERROR(VLOOKUP(A18,Climatologia!A:U,9+$E$2,FALSE),"")</f>
        <v>12.112884686688909</v>
      </c>
      <c r="AS18" s="89" t="str">
        <f t="shared" si="3"/>
        <v/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>
        <v>18.100000000000001</v>
      </c>
      <c r="X19" s="51">
        <v>18.399999999999999</v>
      </c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14</v>
      </c>
      <c r="AQ19" s="89" t="str">
        <f t="shared" si="2"/>
        <v/>
      </c>
      <c r="AR19" s="89">
        <f>IFERROR(VLOOKUP(A19,Climatologia!A:U,9+$E$2,FALSE),"")</f>
        <v>17.60198511166254</v>
      </c>
      <c r="AS19" s="89" t="str">
        <f t="shared" si="3"/>
        <v/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>
        <v>16.3</v>
      </c>
      <c r="X20" s="51">
        <v>17.100000000000001</v>
      </c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14</v>
      </c>
      <c r="AQ20" s="89" t="str">
        <f t="shared" si="2"/>
        <v/>
      </c>
      <c r="AR20" s="89">
        <f>IFERROR(VLOOKUP(A20,Climatologia!A:U,9+$E$2,FALSE),"")</f>
        <v>16.759506289039098</v>
      </c>
      <c r="AS20" s="89" t="str">
        <f t="shared" si="3"/>
        <v/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>
        <v>20.399999999999999</v>
      </c>
      <c r="X21" s="51">
        <v>22.4</v>
      </c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14</v>
      </c>
      <c r="AQ21" s="89" t="str">
        <f t="shared" si="2"/>
        <v/>
      </c>
      <c r="AR21" s="89">
        <f>IFERROR(VLOOKUP(A21,Climatologia!A:U,9+$E$2,FALSE),"")</f>
        <v>19.456815855631209</v>
      </c>
      <c r="AS21" s="89" t="str">
        <f t="shared" si="3"/>
        <v/>
      </c>
      <c r="AT21" s="90">
        <f t="shared" si="4"/>
        <v>20.2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4.3999999999999986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>
        <v>9.3000000000000007</v>
      </c>
      <c r="X22" s="51">
        <v>9</v>
      </c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14</v>
      </c>
      <c r="AQ22" s="89" t="str">
        <f t="shared" si="2"/>
        <v/>
      </c>
      <c r="AR22" s="89">
        <f>IFERROR(VLOOKUP(A22,Climatologia!A:U,9+$E$2,FALSE),"")</f>
        <v>8.3796136733122264</v>
      </c>
      <c r="AS22" s="89" t="str">
        <f t="shared" si="3"/>
        <v/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>
        <v>18.2</v>
      </c>
      <c r="X23" s="51">
        <v>19</v>
      </c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14</v>
      </c>
      <c r="AQ23" s="89" t="str">
        <f t="shared" si="2"/>
        <v/>
      </c>
      <c r="AR23" s="89">
        <f>IFERROR(VLOOKUP(A23,Climatologia!A:U,9+$E$2,FALSE),"")</f>
        <v>18.46166778427882</v>
      </c>
      <c r="AS23" s="89" t="str">
        <f t="shared" si="3"/>
        <v/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>
        <v>25.4</v>
      </c>
      <c r="X24" s="51">
        <v>26</v>
      </c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14</v>
      </c>
      <c r="AQ24" s="89" t="str">
        <f t="shared" si="2"/>
        <v/>
      </c>
      <c r="AR24" s="89">
        <f>IFERROR(VLOOKUP(A24,Climatologia!A:U,9+$E$2,FALSE),"")</f>
        <v>23.298802867383511</v>
      </c>
      <c r="AS24" s="89" t="str">
        <f t="shared" si="3"/>
        <v/>
      </c>
      <c r="AT24" s="90">
        <f t="shared" si="4"/>
        <v>23.8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5.3000000000000007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>
        <v>13.4</v>
      </c>
      <c r="X25" s="51">
        <v>15.2</v>
      </c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14</v>
      </c>
      <c r="AQ25" s="89" t="str">
        <f t="shared" si="2"/>
        <v/>
      </c>
      <c r="AR25" s="89">
        <f>IFERROR(VLOOKUP(A25,Climatologia!A:U,9+$E$2,FALSE),"")</f>
        <v>14.619937099422639</v>
      </c>
      <c r="AS25" s="89" t="str">
        <f t="shared" si="3"/>
        <v/>
      </c>
      <c r="AT25" s="90">
        <f t="shared" si="4"/>
        <v>13.4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2.2000000000000011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>
        <v>3</v>
      </c>
      <c r="X26" s="51">
        <v>4</v>
      </c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14</v>
      </c>
      <c r="AQ26" s="89" t="str">
        <f t="shared" si="2"/>
        <v/>
      </c>
      <c r="AR26" s="89">
        <f>IFERROR(VLOOKUP(A26,Climatologia!A:U,9+$E$2,FALSE),"")</f>
        <v>4.8923173896922503</v>
      </c>
      <c r="AS26" s="89" t="str">
        <f t="shared" si="3"/>
        <v/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>
        <v>25.4</v>
      </c>
      <c r="X27" s="51">
        <v>23.9</v>
      </c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14</v>
      </c>
      <c r="AQ27" s="89" t="str">
        <f t="shared" si="2"/>
        <v/>
      </c>
      <c r="AR27" s="89">
        <f>IFERROR(VLOOKUP(A27,Climatologia!A:U,9+$E$2,FALSE),"")</f>
        <v>23.179136204978711</v>
      </c>
      <c r="AS27" s="89" t="str">
        <f t="shared" si="3"/>
        <v/>
      </c>
      <c r="AT27" s="90">
        <f t="shared" si="4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>
        <v>23.6</v>
      </c>
      <c r="X28" s="51">
        <v>24.9</v>
      </c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14</v>
      </c>
      <c r="AQ28" s="89" t="str">
        <f t="shared" si="2"/>
        <v/>
      </c>
      <c r="AR28" s="89">
        <f>IFERROR(VLOOKUP(A28,Climatologia!A:U,9+$E$2,FALSE),"")</f>
        <v>22.746845081640782</v>
      </c>
      <c r="AS28" s="89" t="str">
        <f t="shared" si="3"/>
        <v/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>
        <v>26</v>
      </c>
      <c r="X29" s="51">
        <v>25</v>
      </c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14</v>
      </c>
      <c r="AQ29" s="89" t="str">
        <f t="shared" si="2"/>
        <v/>
      </c>
      <c r="AR29" s="89">
        <f>IFERROR(VLOOKUP(A29,Climatologia!A:U,9+$E$2,FALSE),"")</f>
        <v>23.54566184649611</v>
      </c>
      <c r="AS29" s="89" t="str">
        <f t="shared" si="3"/>
        <v/>
      </c>
      <c r="AT29" s="90">
        <f t="shared" si="4"/>
        <v>24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4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>
        <v>21</v>
      </c>
      <c r="X30" s="51">
        <v>21.3</v>
      </c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14</v>
      </c>
      <c r="AQ30" s="89" t="str">
        <f t="shared" si="2"/>
        <v/>
      </c>
      <c r="AR30" s="89">
        <f>IFERROR(VLOOKUP(A30,Climatologia!A:U,9+$E$2,FALSE),"")</f>
        <v>20.53698553948831</v>
      </c>
      <c r="AS30" s="89" t="str">
        <f t="shared" si="3"/>
        <v/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>
        <v>23.2</v>
      </c>
      <c r="X31" s="108">
        <v>23.3</v>
      </c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14</v>
      </c>
      <c r="AQ31" s="89" t="str">
        <f t="shared" si="2"/>
        <v/>
      </c>
      <c r="AR31" s="89">
        <f>IFERROR(VLOOKUP(A31,Climatologia!A:U,9+$E$2,FALSE),"")</f>
        <v>21.82882961124896</v>
      </c>
      <c r="AS31" s="89" t="str">
        <f t="shared" si="3"/>
        <v/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>
        <v>12</v>
      </c>
      <c r="X32" s="51">
        <v>13.2</v>
      </c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14</v>
      </c>
      <c r="AQ32" s="89" t="str">
        <f t="shared" si="2"/>
        <v/>
      </c>
      <c r="AR32" s="89">
        <f>IFERROR(VLOOKUP(A32,Climatologia!A:U,9+$E$2,FALSE),"")</f>
        <v>13.384747431302269</v>
      </c>
      <c r="AS32" s="89" t="str">
        <f t="shared" si="3"/>
        <v/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>
        <v>15.8</v>
      </c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>
        <v>15</v>
      </c>
      <c r="X34" s="51">
        <v>16.600000000000001</v>
      </c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14</v>
      </c>
      <c r="AQ34" s="89" t="str">
        <f t="shared" si="2"/>
        <v/>
      </c>
      <c r="AR34" s="89">
        <f>IFERROR(VLOOKUP(A34,Climatologia!A:U,9+$E$2,FALSE),"")</f>
        <v>14.78540372493654</v>
      </c>
      <c r="AS34" s="89" t="str">
        <f t="shared" si="3"/>
        <v/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>
        <v>15.4</v>
      </c>
      <c r="X35" s="51">
        <v>15.8</v>
      </c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14</v>
      </c>
      <c r="AQ35" s="89" t="str">
        <f t="shared" si="2"/>
        <v/>
      </c>
      <c r="AR35" s="89">
        <f>IFERROR(VLOOKUP(A35,Climatologia!A:U,9+$E$2,FALSE),"")</f>
        <v>13.2928973207542</v>
      </c>
      <c r="AS35" s="89" t="str">
        <f t="shared" si="3"/>
        <v/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>
        <v>17.8</v>
      </c>
      <c r="X36" s="51">
        <v>19</v>
      </c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14</v>
      </c>
      <c r="AQ36" s="89" t="str">
        <f t="shared" si="2"/>
        <v/>
      </c>
      <c r="AR36" s="89">
        <f>IFERROR(VLOOKUP(A36,Climatologia!A:U,9+$E$2,FALSE),"")</f>
        <v>19.435919418842811</v>
      </c>
      <c r="AS36" s="89" t="str">
        <f t="shared" si="3"/>
        <v/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>
        <v>7.6</v>
      </c>
      <c r="X37" s="51">
        <v>8.6</v>
      </c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14</v>
      </c>
      <c r="AQ37" s="89" t="str">
        <f t="shared" si="2"/>
        <v/>
      </c>
      <c r="AR37" s="89">
        <f>IFERROR(VLOOKUP(A37,Climatologia!A:U,9+$E$2,FALSE),"")</f>
        <v>9.4603029050299927</v>
      </c>
      <c r="AS37" s="89" t="str">
        <f t="shared" si="3"/>
        <v/>
      </c>
      <c r="AT37" s="90">
        <f t="shared" si="4"/>
        <v>7.6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/>
      <c r="W38" s="51">
        <v>18.399999999999999</v>
      </c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12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>
        <v>20.8</v>
      </c>
      <c r="X39" s="51">
        <v>21.2</v>
      </c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14</v>
      </c>
      <c r="AQ39" s="89" t="str">
        <f t="shared" si="2"/>
        <v/>
      </c>
      <c r="AR39" s="89">
        <f>IFERROR(VLOOKUP(A39,Climatologia!A:U,9+$E$2,FALSE),"")</f>
        <v>17.324090157154679</v>
      </c>
      <c r="AS39" s="89" t="str">
        <f t="shared" si="3"/>
        <v/>
      </c>
      <c r="AT39" s="90">
        <f t="shared" si="4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6.1999999999999993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>
        <v>14.6</v>
      </c>
      <c r="X40" s="51">
        <v>15.8</v>
      </c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14</v>
      </c>
      <c r="AQ40" s="89" t="str">
        <f t="shared" si="2"/>
        <v/>
      </c>
      <c r="AR40" s="89">
        <f>IFERROR(VLOOKUP(A40,Climatologia!A:U,9+$E$2,FALSE),"")</f>
        <v>13.024959037378389</v>
      </c>
      <c r="AS40" s="89" t="str">
        <f t="shared" si="3"/>
        <v/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>
        <v>27</v>
      </c>
      <c r="X41" s="51">
        <v>24</v>
      </c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14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>
        <v>27.2</v>
      </c>
      <c r="X42" s="51">
        <v>25.8</v>
      </c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14</v>
      </c>
      <c r="AQ42" s="89" t="str">
        <f t="shared" si="2"/>
        <v/>
      </c>
      <c r="AR42" s="89">
        <f>IFERROR(VLOOKUP(A42,Climatologia!A:U,9+$E$2,FALSE),"")</f>
        <v>24.242887721454171</v>
      </c>
      <c r="AS42" s="89" t="str">
        <f t="shared" si="3"/>
        <v/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>
        <v>25.4</v>
      </c>
      <c r="X43" s="51">
        <v>26.6</v>
      </c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14</v>
      </c>
      <c r="AQ43" s="89" t="str">
        <f t="shared" si="2"/>
        <v/>
      </c>
      <c r="AR43" s="89">
        <f>IFERROR(VLOOKUP(A43,Climatologia!A:U,9+$E$2,FALSE),"")</f>
        <v>23.780114118567958</v>
      </c>
      <c r="AS43" s="89" t="str">
        <f t="shared" si="3"/>
        <v/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>
        <v>25.4</v>
      </c>
      <c r="X44" s="51">
        <v>24.6</v>
      </c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14</v>
      </c>
      <c r="AQ44" s="89" t="str">
        <f t="shared" si="2"/>
        <v/>
      </c>
      <c r="AR44" s="89">
        <f>IFERROR(VLOOKUP(A44,Climatologia!A:U,9+$E$2,FALSE),"")</f>
        <v>23.0554149406661</v>
      </c>
      <c r="AS44" s="89" t="str">
        <f t="shared" si="3"/>
        <v/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>
        <v>26.6</v>
      </c>
      <c r="X47" s="51">
        <v>24.6</v>
      </c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14</v>
      </c>
      <c r="AQ47" s="89" t="str">
        <f t="shared" si="2"/>
        <v/>
      </c>
      <c r="AR47" s="89">
        <f>IFERROR(VLOOKUP(A47,Climatologia!A:U,9+$E$2,FALSE),"")</f>
        <v>22.672444338506629</v>
      </c>
      <c r="AS47" s="89" t="str">
        <f t="shared" si="3"/>
        <v/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>
        <v>27.2</v>
      </c>
      <c r="X51" s="51">
        <v>24.8</v>
      </c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14</v>
      </c>
      <c r="AQ51" s="89" t="str">
        <f t="shared" si="2"/>
        <v/>
      </c>
      <c r="AR51" s="89">
        <f>IFERROR(VLOOKUP(A51,Climatologia!A:U,9+$E$2,FALSE),"")</f>
        <v>23.046735261401551</v>
      </c>
      <c r="AS51" s="89" t="str">
        <f t="shared" si="3"/>
        <v/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>
        <v>25</v>
      </c>
      <c r="X52" s="51">
        <v>25.4</v>
      </c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14</v>
      </c>
      <c r="AQ52" s="89" t="str">
        <f t="shared" si="2"/>
        <v/>
      </c>
      <c r="AR52" s="89">
        <f>IFERROR(VLOOKUP(A52,Climatologia!A:U,9+$E$2,FALSE),"")</f>
        <v>22.42011697979439</v>
      </c>
      <c r="AS52" s="89" t="str">
        <f t="shared" si="3"/>
        <v/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>
        <v>25.6</v>
      </c>
      <c r="X53" s="51">
        <v>26</v>
      </c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13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>
        <v>22.8</v>
      </c>
      <c r="X54" s="51">
        <v>23.2</v>
      </c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14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>
        <v>25.2</v>
      </c>
      <c r="X57" s="51">
        <v>25.8</v>
      </c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14</v>
      </c>
      <c r="AQ57" s="89" t="str">
        <f t="shared" si="2"/>
        <v/>
      </c>
      <c r="AR57" s="89">
        <f>IFERROR(VLOOKUP(A57,Climatologia!A:U,9+$E$2,FALSE),"")</f>
        <v>23.979265352535649</v>
      </c>
      <c r="AS57" s="89" t="str">
        <f t="shared" si="3"/>
        <v/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20.6</v>
      </c>
      <c r="L58" s="51">
        <v>20.2</v>
      </c>
      <c r="M58" s="51">
        <v>22.2</v>
      </c>
      <c r="N58" s="51">
        <v>22.2</v>
      </c>
      <c r="O58" s="51">
        <v>23</v>
      </c>
      <c r="P58" s="51"/>
      <c r="Q58" s="51"/>
      <c r="R58" s="51"/>
      <c r="S58" s="51">
        <v>23.2</v>
      </c>
      <c r="T58" s="51">
        <v>22.8</v>
      </c>
      <c r="U58" s="51">
        <v>22.6</v>
      </c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8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4.1999999999999993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>
        <v>22.2</v>
      </c>
      <c r="S60" s="51">
        <v>22.4</v>
      </c>
      <c r="T60" s="51">
        <v>22.4</v>
      </c>
      <c r="U60" s="51">
        <v>21.2</v>
      </c>
      <c r="V60" s="51">
        <v>21.6</v>
      </c>
      <c r="W60" s="51">
        <v>22</v>
      </c>
      <c r="X60" s="51">
        <v>22.6</v>
      </c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14</v>
      </c>
      <c r="AQ60" s="89" t="str">
        <f t="shared" si="2"/>
        <v/>
      </c>
      <c r="AR60" s="89">
        <f>IFERROR(VLOOKUP(A60,Climatologia!A:U,9+$E$2,FALSE),"")</f>
        <v>21.421723438405142</v>
      </c>
      <c r="AS60" s="89" t="str">
        <f t="shared" si="3"/>
        <v/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>
        <v>21.4</v>
      </c>
      <c r="N63" s="51">
        <v>21.2</v>
      </c>
      <c r="O63" s="51">
        <v>23</v>
      </c>
      <c r="P63" s="51">
        <v>22.6</v>
      </c>
      <c r="Q63" s="51">
        <v>21.6</v>
      </c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>
        <v>20.8</v>
      </c>
      <c r="X63" s="51">
        <v>23.2</v>
      </c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14</v>
      </c>
      <c r="AQ63" s="89" t="str">
        <f t="shared" si="2"/>
        <v/>
      </c>
      <c r="AR63" s="89">
        <f>IFERROR(VLOOKUP(A63,Climatologia!A:U,9+$E$2,FALSE),"")</f>
        <v>22.115021493152749</v>
      </c>
      <c r="AS63" s="89" t="str">
        <f t="shared" si="3"/>
        <v/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>
        <v>21</v>
      </c>
      <c r="X64" s="51">
        <v>23.2</v>
      </c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14</v>
      </c>
      <c r="AQ64" s="89" t="str">
        <f t="shared" si="2"/>
        <v/>
      </c>
      <c r="AR64" s="89">
        <f>IFERROR(VLOOKUP(A64,Climatologia!A:U,9+$E$2,FALSE),"")</f>
        <v>21.829845625062539</v>
      </c>
      <c r="AS64" s="89" t="str">
        <f t="shared" si="3"/>
        <v/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>
        <v>21.8</v>
      </c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13</v>
      </c>
      <c r="AQ65" s="89" t="str">
        <f t="shared" si="2"/>
        <v/>
      </c>
      <c r="AR65" s="89">
        <f>IFERROR(VLOOKUP(A65,Climatologia!A:U,9+$E$2,FALSE),"")</f>
        <v>21.51595325788206</v>
      </c>
      <c r="AS65" s="89" t="str">
        <f t="shared" si="3"/>
        <v/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>
        <v>19.600000000000001</v>
      </c>
      <c r="X67" s="51">
        <v>20.6</v>
      </c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14</v>
      </c>
      <c r="AQ67" s="89" t="str">
        <f t="shared" si="2"/>
        <v/>
      </c>
      <c r="AR67" s="89">
        <f>IFERROR(VLOOKUP(A67,Climatologia!A:U,9+$E$2,FALSE),"")</f>
        <v>21.155438855480959</v>
      </c>
      <c r="AS67" s="89" t="str">
        <f t="shared" si="3"/>
        <v/>
      </c>
      <c r="AT67" s="90">
        <f t="shared" si="4"/>
        <v>19.600000000000001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1.6000000000000014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>
        <v>20</v>
      </c>
      <c r="X68" s="51">
        <v>21.6</v>
      </c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14</v>
      </c>
      <c r="AQ68" s="89" t="str">
        <f t="shared" si="2"/>
        <v/>
      </c>
      <c r="AR68" s="89">
        <f>IFERROR(VLOOKUP(A68,Climatologia!A:U,9+$E$2,FALSE),"")</f>
        <v>21.17954086440843</v>
      </c>
      <c r="AS68" s="89" t="str">
        <f t="shared" si="3"/>
        <v/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>
        <v>22.4</v>
      </c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>
        <v>21.8</v>
      </c>
      <c r="X69" s="51">
        <v>22.2</v>
      </c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14</v>
      </c>
      <c r="AQ69" s="89" t="str">
        <f t="shared" ref="AQ69:AQ132" si="7">IF(AP69&gt;14,AVERAGE(K69:AO69),"")</f>
        <v/>
      </c>
      <c r="AR69" s="89">
        <f>IFERROR(VLOOKUP(A69,Climatologia!A:U,9+$E$2,FALSE),"")</f>
        <v>20.95822964669739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>
        <v>22</v>
      </c>
      <c r="X70" s="51">
        <v>23.1</v>
      </c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14</v>
      </c>
      <c r="AQ70" s="89" t="str">
        <f t="shared" si="7"/>
        <v/>
      </c>
      <c r="AR70" s="89">
        <f>IFERROR(VLOOKUP(A70,Climatologia!A:U,9+$E$2,FALSE),"")</f>
        <v>22.49395085458767</v>
      </c>
      <c r="AS70" s="89" t="str">
        <f t="shared" si="8"/>
        <v/>
      </c>
      <c r="AT70" s="90">
        <f t="shared" si="9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>
        <v>22.3</v>
      </c>
      <c r="X71" s="51">
        <v>22.3</v>
      </c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14</v>
      </c>
      <c r="AQ71" s="89" t="str">
        <f t="shared" si="7"/>
        <v/>
      </c>
      <c r="AR71" s="89">
        <f>IFERROR(VLOOKUP(A71,Climatologia!A:U,9+$E$2,FALSE),"")</f>
        <v>21.499102150537631</v>
      </c>
      <c r="AS71" s="89" t="str">
        <f t="shared" si="8"/>
        <v/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>
        <v>21.2</v>
      </c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>
        <v>21.4</v>
      </c>
      <c r="W72" s="51">
        <v>20.6</v>
      </c>
      <c r="X72" s="51">
        <v>20.8</v>
      </c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12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>
        <v>17</v>
      </c>
      <c r="X73" s="51">
        <v>18.2</v>
      </c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14</v>
      </c>
      <c r="AQ73" s="89" t="str">
        <f t="shared" si="7"/>
        <v/>
      </c>
      <c r="AR73" s="89">
        <f>IFERROR(VLOOKUP(A73,Climatologia!A:U,9+$E$2,FALSE),"")</f>
        <v>16.339759362254359</v>
      </c>
      <c r="AS73" s="89" t="str">
        <f t="shared" si="8"/>
        <v/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>
        <v>10.8</v>
      </c>
      <c r="X74" s="51">
        <v>11</v>
      </c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13</v>
      </c>
      <c r="AQ74" s="89" t="str">
        <f t="shared" si="7"/>
        <v/>
      </c>
      <c r="AR74" s="89">
        <f>IFERROR(VLOOKUP(A74,Climatologia!A:U,9+$E$2,FALSE),"")</f>
        <v>11.60078927362504</v>
      </c>
      <c r="AS74" s="89" t="str">
        <f t="shared" si="8"/>
        <v/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>
        <v>13.8</v>
      </c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>
        <v>14</v>
      </c>
      <c r="X75" s="51">
        <v>15.2</v>
      </c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14</v>
      </c>
      <c r="AQ75" s="89" t="str">
        <f t="shared" si="7"/>
        <v/>
      </c>
      <c r="AR75" s="89">
        <f>IFERROR(VLOOKUP(A75,Climatologia!A:U,9+$E$2,FALSE),"")</f>
        <v>15.418794564997761</v>
      </c>
      <c r="AS75" s="89" t="str">
        <f t="shared" si="8"/>
        <v/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>
        <v>16.600000000000001</v>
      </c>
      <c r="X76" s="51">
        <v>18</v>
      </c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14</v>
      </c>
      <c r="AQ76" s="89" t="str">
        <f t="shared" si="7"/>
        <v/>
      </c>
      <c r="AR76" s="89">
        <f>IFERROR(VLOOKUP(A76,Climatologia!A:U,9+$E$2,FALSE),"")</f>
        <v>18.47633867500863</v>
      </c>
      <c r="AS76" s="89" t="str">
        <f t="shared" si="8"/>
        <v/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>
        <v>27</v>
      </c>
      <c r="X77" s="51">
        <v>28.4</v>
      </c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14</v>
      </c>
      <c r="AQ77" s="89" t="str">
        <f t="shared" si="7"/>
        <v/>
      </c>
      <c r="AR77" s="89">
        <f>IFERROR(VLOOKUP(A77,Climatologia!A:U,9+$E$2,FALSE),"")</f>
        <v>24.545433207708651</v>
      </c>
      <c r="AS77" s="89" t="str">
        <f t="shared" si="8"/>
        <v/>
      </c>
      <c r="AT77" s="90">
        <f t="shared" si="9"/>
        <v>24.4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6.5999999999999979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>
        <v>24.6</v>
      </c>
      <c r="X78" s="51">
        <v>25.2</v>
      </c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14</v>
      </c>
      <c r="AQ78" s="89" t="str">
        <f t="shared" si="7"/>
        <v/>
      </c>
      <c r="AR78" s="89">
        <f>IFERROR(VLOOKUP(A78,Climatologia!A:U,9+$E$2,FALSE),"")</f>
        <v>23.46580771270726</v>
      </c>
      <c r="AS78" s="89" t="str">
        <f t="shared" si="8"/>
        <v/>
      </c>
      <c r="AT78" s="90">
        <f t="shared" si="9"/>
        <v>23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4.8000000000000007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>
        <v>16.2</v>
      </c>
      <c r="W79" s="51">
        <v>13.6</v>
      </c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13</v>
      </c>
      <c r="AQ79" s="89" t="str">
        <f t="shared" si="7"/>
        <v/>
      </c>
      <c r="AR79" s="89">
        <f>IFERROR(VLOOKUP(A79,Climatologia!A:U,9+$E$2,FALSE),"")</f>
        <v>15.28784620132488</v>
      </c>
      <c r="AS79" s="89" t="str">
        <f t="shared" si="8"/>
        <v/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>
        <v>23</v>
      </c>
      <c r="X81" s="51">
        <v>23</v>
      </c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14</v>
      </c>
      <c r="AQ81" s="89" t="str">
        <f t="shared" si="7"/>
        <v/>
      </c>
      <c r="AR81" s="89">
        <f>IFERROR(VLOOKUP(A81,Climatologia!A:U,9+$E$2,FALSE),"")</f>
        <v>21.715420961210111</v>
      </c>
      <c r="AS81" s="89" t="str">
        <f t="shared" si="8"/>
        <v/>
      </c>
      <c r="AT81" s="90">
        <f t="shared" si="9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5.8000000000000007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>
        <v>29</v>
      </c>
      <c r="X83" s="51">
        <v>29.2</v>
      </c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14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26.6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8.2000000000000028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>
        <v>27.2</v>
      </c>
      <c r="X84" s="51">
        <v>27.6</v>
      </c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14</v>
      </c>
      <c r="AQ84" s="89" t="str">
        <f t="shared" si="7"/>
        <v/>
      </c>
      <c r="AR84" s="89">
        <f>IFERROR(VLOOKUP(A84,Climatologia!A:U,9+$E$2,FALSE),"")</f>
        <v>23.659247311827961</v>
      </c>
      <c r="AS84" s="89" t="str">
        <f t="shared" si="8"/>
        <v/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>
        <v>26.4</v>
      </c>
      <c r="X85" s="51">
        <v>24</v>
      </c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14</v>
      </c>
      <c r="AQ85" s="89" t="str">
        <f t="shared" si="7"/>
        <v/>
      </c>
      <c r="AR85" s="89">
        <f>IFERROR(VLOOKUP(A85,Climatologia!A:U,9+$E$2,FALSE),"")</f>
        <v>23.235308274059729</v>
      </c>
      <c r="AS85" s="89" t="str">
        <f t="shared" si="8"/>
        <v/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>
        <v>21.6</v>
      </c>
      <c r="X86" s="51">
        <v>21.4</v>
      </c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14</v>
      </c>
      <c r="AQ86" s="89" t="str">
        <f t="shared" si="7"/>
        <v/>
      </c>
      <c r="AR86" s="89">
        <f>IFERROR(VLOOKUP(A86,Climatologia!A:U,9+$E$2,FALSE),"")</f>
        <v>22.828530465949822</v>
      </c>
      <c r="AS86" s="89" t="str">
        <f t="shared" si="8"/>
        <v/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>
        <v>26.6</v>
      </c>
      <c r="X87" s="51">
        <v>26.6</v>
      </c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14</v>
      </c>
      <c r="AQ87" s="89" t="str">
        <f t="shared" si="7"/>
        <v/>
      </c>
      <c r="AR87" s="89">
        <f>IFERROR(VLOOKUP(A87,Climatologia!A:U,9+$E$2,FALSE),"")</f>
        <v>23.725363919312059</v>
      </c>
      <c r="AS87" s="89" t="str">
        <f t="shared" si="8"/>
        <v/>
      </c>
      <c r="AT87" s="90">
        <f t="shared" si="9"/>
        <v>24.6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6.6000000000000014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>
        <v>27</v>
      </c>
      <c r="X88" s="51">
        <v>28</v>
      </c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14</v>
      </c>
      <c r="AQ88" s="89" t="str">
        <f t="shared" si="7"/>
        <v/>
      </c>
      <c r="AR88" s="89">
        <f>IFERROR(VLOOKUP(A88,Climatologia!A:U,9+$E$2,FALSE),"")</f>
        <v>23.148531221247211</v>
      </c>
      <c r="AS88" s="89" t="str">
        <f t="shared" si="8"/>
        <v/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>
        <v>28.2</v>
      </c>
      <c r="X89" s="116">
        <v>25.6</v>
      </c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14</v>
      </c>
      <c r="AQ89" s="89" t="str">
        <f t="shared" si="7"/>
        <v/>
      </c>
      <c r="AR89" s="89">
        <f>IFERROR(VLOOKUP(A89,Climatologia!A:U,9+$E$2,FALSE),"")</f>
        <v>22.80687536416124</v>
      </c>
      <c r="AS89" s="89" t="str">
        <f t="shared" si="8"/>
        <v/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9.3999999999999986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>
        <v>13.6</v>
      </c>
      <c r="X90" s="51">
        <v>12.6</v>
      </c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14</v>
      </c>
      <c r="AQ90" s="89" t="str">
        <f t="shared" si="7"/>
        <v/>
      </c>
      <c r="AR90" s="89">
        <f>IFERROR(VLOOKUP(A90,Climatologia!A:U,9+$E$2,FALSE),"")</f>
        <v>11.03161290322581</v>
      </c>
      <c r="AS90" s="89" t="str">
        <f t="shared" si="8"/>
        <v/>
      </c>
      <c r="AT90" s="90">
        <f t="shared" si="9"/>
        <v>10.8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6.6000000000000005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>
        <v>18.600000000000001</v>
      </c>
      <c r="X91" s="51">
        <v>19</v>
      </c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14</v>
      </c>
      <c r="AQ91" s="89" t="str">
        <f t="shared" si="7"/>
        <v/>
      </c>
      <c r="AR91" s="89">
        <f>IFERROR(VLOOKUP(A91,Climatologia!A:U,9+$E$2,FALSE),"")</f>
        <v>17.610862560172901</v>
      </c>
      <c r="AS91" s="89" t="str">
        <f t="shared" si="8"/>
        <v/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>
        <v>10.8</v>
      </c>
      <c r="X92" s="51">
        <v>12.6</v>
      </c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13</v>
      </c>
      <c r="AQ92" s="89" t="str">
        <f t="shared" si="7"/>
        <v/>
      </c>
      <c r="AR92" s="89">
        <f>IFERROR(VLOOKUP(A92,Climatologia!A:U,9+$E$2,FALSE),"")</f>
        <v>11.399375551378929</v>
      </c>
      <c r="AS92" s="89" t="str">
        <f t="shared" si="8"/>
        <v/>
      </c>
      <c r="AT92" s="90">
        <f t="shared" si="9"/>
        <v>9.8000000000000007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>
        <v>10</v>
      </c>
      <c r="X93" s="51">
        <v>10.8</v>
      </c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14</v>
      </c>
      <c r="AQ93" s="89" t="str">
        <f t="shared" si="7"/>
        <v/>
      </c>
      <c r="AR93" s="89">
        <f>IFERROR(VLOOKUP(A93,Climatologia!A:U,9+$E$2,FALSE),"")</f>
        <v>8.6931200495597167</v>
      </c>
      <c r="AS93" s="89" t="str">
        <f t="shared" si="8"/>
        <v/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7.7999999999999989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>
        <v>8.1999999999999993</v>
      </c>
      <c r="X96" s="51">
        <v>7.4</v>
      </c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14</v>
      </c>
      <c r="AQ96" s="89" t="str">
        <f t="shared" si="7"/>
        <v/>
      </c>
      <c r="AR96" s="89">
        <f>IFERROR(VLOOKUP(A96,Climatologia!A:U,9+$E$2,FALSE),"")</f>
        <v>7.1833471822125867</v>
      </c>
      <c r="AS96" s="89" t="str">
        <f t="shared" si="8"/>
        <v/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11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>
        <v>7</v>
      </c>
      <c r="X98" s="51">
        <v>5</v>
      </c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14</v>
      </c>
      <c r="AQ98" s="89" t="str">
        <f t="shared" si="7"/>
        <v/>
      </c>
      <c r="AR98" s="89">
        <f>IFERROR(VLOOKUP(A98,Climatologia!A:U,9+$E$2,FALSE),"")</f>
        <v>6.5568614692818183</v>
      </c>
      <c r="AS98" s="89" t="str">
        <f t="shared" si="8"/>
        <v/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>
        <v>9.6</v>
      </c>
      <c r="X99" s="51">
        <v>11</v>
      </c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14</v>
      </c>
      <c r="AQ99" s="89" t="str">
        <f t="shared" si="7"/>
        <v/>
      </c>
      <c r="AR99" s="89">
        <f>IFERROR(VLOOKUP(A99,Climatologia!A:U,9+$E$2,FALSE),"")</f>
        <v>8.4968567690188941</v>
      </c>
      <c r="AS99" s="89" t="str">
        <f t="shared" si="8"/>
        <v/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>
        <v>6.4</v>
      </c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13</v>
      </c>
      <c r="AQ100" s="89" t="str">
        <f t="shared" si="7"/>
        <v/>
      </c>
      <c r="AR100" s="89">
        <f>IFERROR(VLOOKUP(A100,Climatologia!A:U,9+$E$2,FALSE),"")</f>
        <v>7.0594081215067499</v>
      </c>
      <c r="AS100" s="89" t="str">
        <f t="shared" si="8"/>
        <v/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12</v>
      </c>
      <c r="AQ103" s="89" t="str">
        <f t="shared" si="7"/>
        <v/>
      </c>
      <c r="AR103" s="89">
        <f>IFERROR(VLOOKUP(A103,Climatologia!A:U,9+$E$2,FALSE),"")</f>
        <v>11.333242057563099</v>
      </c>
      <c r="AS103" s="89" t="str">
        <f t="shared" si="8"/>
        <v/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>
        <v>2.6</v>
      </c>
      <c r="X104" s="51">
        <v>3.4</v>
      </c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12</v>
      </c>
      <c r="AQ104" s="89" t="str">
        <f t="shared" si="7"/>
        <v/>
      </c>
      <c r="AR104" s="89">
        <f>IFERROR(VLOOKUP(A104,Climatologia!A:U,9+$E$2,FALSE),"")</f>
        <v>6.0789725209080059</v>
      </c>
      <c r="AS104" s="89" t="str">
        <f t="shared" si="8"/>
        <v/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>
        <v>5.4</v>
      </c>
      <c r="X105" s="51">
        <v>5.2</v>
      </c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14</v>
      </c>
      <c r="AQ105" s="89" t="str">
        <f t="shared" si="7"/>
        <v/>
      </c>
      <c r="AR105" s="89">
        <f>IFERROR(VLOOKUP(A105,Climatologia!A:U,9+$E$2,FALSE),"")</f>
        <v>6.6867982257377889</v>
      </c>
      <c r="AS105" s="89" t="str">
        <f t="shared" si="8"/>
        <v/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>
        <v>11.2</v>
      </c>
      <c r="X106" s="51">
        <v>11</v>
      </c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14</v>
      </c>
      <c r="AQ106" s="89" t="str">
        <f t="shared" si="7"/>
        <v/>
      </c>
      <c r="AR106" s="89">
        <f>IFERROR(VLOOKUP(A106,Climatologia!A:U,9+$E$2,FALSE),"")</f>
        <v>9.9225433842748103</v>
      </c>
      <c r="AS106" s="89" t="str">
        <f t="shared" si="8"/>
        <v/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>
        <v>13.4</v>
      </c>
      <c r="X107" s="51">
        <v>14.8</v>
      </c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12</v>
      </c>
      <c r="AQ107" s="89" t="str">
        <f t="shared" si="7"/>
        <v/>
      </c>
      <c r="AR107" s="89">
        <f>IFERROR(VLOOKUP(A107,Climatologia!A:U,9+$E$2,FALSE),"")</f>
        <v>13.650700267218999</v>
      </c>
      <c r="AS107" s="89" t="str">
        <f t="shared" si="8"/>
        <v/>
      </c>
      <c r="AT107" s="90">
        <f t="shared" si="9"/>
        <v>13.4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6.4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>
        <v>10.4</v>
      </c>
      <c r="X108" s="51">
        <v>13</v>
      </c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14</v>
      </c>
      <c r="AQ108" s="89" t="str">
        <f t="shared" si="7"/>
        <v/>
      </c>
      <c r="AR108" s="89">
        <f>IFERROR(VLOOKUP(A108,Climatologia!A:U,9+$E$2,FALSE),"")</f>
        <v>11.71482091212458</v>
      </c>
      <c r="AS108" s="89" t="str">
        <f t="shared" si="8"/>
        <v/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>
        <v>13.4</v>
      </c>
      <c r="X109" s="51">
        <v>15.6</v>
      </c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14</v>
      </c>
      <c r="AQ109" s="89" t="str">
        <f t="shared" si="7"/>
        <v/>
      </c>
      <c r="AR109" s="89">
        <f>IFERROR(VLOOKUP(A109,Climatologia!A:U,9+$E$2,FALSE),"")</f>
        <v>13.486598754951901</v>
      </c>
      <c r="AS109" s="89" t="str">
        <f t="shared" si="8"/>
        <v/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>
        <v>14</v>
      </c>
      <c r="X110" s="51">
        <v>16</v>
      </c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14</v>
      </c>
      <c r="AQ110" s="89" t="str">
        <f t="shared" si="7"/>
        <v/>
      </c>
      <c r="AR110" s="89">
        <f>IFERROR(VLOOKUP(A110,Climatologia!A:U,9+$E$2,FALSE),"")</f>
        <v>13.526900330851941</v>
      </c>
      <c r="AS110" s="89" t="str">
        <f t="shared" si="8"/>
        <v/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>
        <v>17</v>
      </c>
      <c r="X111" s="51">
        <v>18.600000000000001</v>
      </c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14</v>
      </c>
      <c r="AQ111" s="89" t="str">
        <f t="shared" si="7"/>
        <v/>
      </c>
      <c r="AR111" s="89">
        <f>IFERROR(VLOOKUP(A111,Climatologia!A:U,9+$E$2,FALSE),"")</f>
        <v>16.8655441109516</v>
      </c>
      <c r="AS111" s="89" t="str">
        <f t="shared" si="8"/>
        <v/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>
        <v>22.2</v>
      </c>
      <c r="X112" s="51">
        <v>22.8</v>
      </c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14</v>
      </c>
      <c r="AQ112" s="89" t="str">
        <f t="shared" si="7"/>
        <v/>
      </c>
      <c r="AR112" s="89">
        <f>IFERROR(VLOOKUP(A112,Climatologia!A:U,9+$E$2,FALSE),"")</f>
        <v>22.5308162078518</v>
      </c>
      <c r="AS112" s="89" t="str">
        <f t="shared" si="8"/>
        <v/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>
        <v>14.2</v>
      </c>
      <c r="X113" s="51">
        <v>14.6</v>
      </c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14</v>
      </c>
      <c r="AQ113" s="89" t="str">
        <f t="shared" si="7"/>
        <v/>
      </c>
      <c r="AR113" s="89">
        <f>IFERROR(VLOOKUP(A113,Climatologia!A:U,9+$E$2,FALSE),"")</f>
        <v>15.24686243974787</v>
      </c>
      <c r="AS113" s="89" t="str">
        <f t="shared" si="8"/>
        <v/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>
        <v>18.600000000000001</v>
      </c>
      <c r="X114" s="51">
        <v>18.8</v>
      </c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14</v>
      </c>
      <c r="AQ114" s="89" t="str">
        <f t="shared" si="7"/>
        <v/>
      </c>
      <c r="AR114" s="89">
        <f>IFERROR(VLOOKUP(A114,Climatologia!A:U,9+$E$2,FALSE),"")</f>
        <v>22.117682198327358</v>
      </c>
      <c r="AS114" s="89" t="str">
        <f t="shared" si="8"/>
        <v/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>
        <v>21.4</v>
      </c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13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>
        <v>20.399999999999999</v>
      </c>
      <c r="X116" s="51">
        <v>19.600000000000001</v>
      </c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13</v>
      </c>
      <c r="AQ116" s="89" t="str">
        <f t="shared" si="7"/>
        <v/>
      </c>
      <c r="AR116" s="89">
        <f>IFERROR(VLOOKUP(A116,Climatologia!A:U,9+$E$2,FALSE),"")</f>
        <v>18.405984169653529</v>
      </c>
      <c r="AS116" s="89" t="str">
        <f t="shared" si="8"/>
        <v/>
      </c>
      <c r="AT116" s="90">
        <f t="shared" si="9"/>
        <v>19.600000000000001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4.3000000000000007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>
        <v>22.4</v>
      </c>
      <c r="X117" s="51">
        <v>22.8</v>
      </c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14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>
        <v>9.4</v>
      </c>
      <c r="W119" s="51">
        <v>3.8</v>
      </c>
      <c r="X119" s="51">
        <v>8.8000000000000007</v>
      </c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14</v>
      </c>
      <c r="AQ119" s="89" t="str">
        <f t="shared" si="7"/>
        <v/>
      </c>
      <c r="AR119" s="89">
        <f>IFERROR(VLOOKUP(A119,Climatologia!A:U,9+$E$2,FALSE),"")</f>
        <v>5.9386052057570407</v>
      </c>
      <c r="AS119" s="89" t="str">
        <f t="shared" si="8"/>
        <v/>
      </c>
      <c r="AT119" s="90">
        <f t="shared" si="9"/>
        <v>3.8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>
        <v>8.3000000000000007</v>
      </c>
      <c r="X121" s="51">
        <v>10.1</v>
      </c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13</v>
      </c>
      <c r="AQ121" s="89" t="str">
        <f t="shared" si="7"/>
        <v/>
      </c>
      <c r="AR121" s="89">
        <f>IFERROR(VLOOKUP(A121,Climatologia!A:U,9+$E$2,FALSE),"")</f>
        <v>10.81260585836114</v>
      </c>
      <c r="AS121" s="89" t="str">
        <f t="shared" si="8"/>
        <v/>
      </c>
      <c r="AT121" s="90">
        <f t="shared" si="9"/>
        <v>8.3000000000000007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6.5000000000000009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>
        <v>3.2</v>
      </c>
      <c r="X123" s="51">
        <v>6.8</v>
      </c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14</v>
      </c>
      <c r="AQ123" s="89" t="str">
        <f t="shared" si="7"/>
        <v/>
      </c>
      <c r="AR123" s="89">
        <f>IFERROR(VLOOKUP(A123,Climatologia!A:U,9+$E$2,FALSE),"")</f>
        <v>7.6782114198549483</v>
      </c>
      <c r="AS123" s="89" t="str">
        <f t="shared" si="8"/>
        <v/>
      </c>
      <c r="AT123" s="90">
        <f t="shared" si="9"/>
        <v>3.2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8</v>
      </c>
      <c r="AQ126" s="89" t="str">
        <f t="shared" si="7"/>
        <v/>
      </c>
      <c r="AR126" s="89">
        <f>IFERROR(VLOOKUP(A126,Climatologia!A:U,9+$E$2,FALSE),"")</f>
        <v>11.41155222734255</v>
      </c>
      <c r="AS126" s="89" t="str">
        <f t="shared" si="8"/>
        <v/>
      </c>
      <c r="AT126" s="90">
        <f t="shared" si="9"/>
        <v>12.2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7.9999999999999991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>
        <v>16.8</v>
      </c>
      <c r="U127" s="51"/>
      <c r="V127" s="51">
        <v>14.6</v>
      </c>
      <c r="W127" s="51">
        <v>13.2</v>
      </c>
      <c r="X127" s="51">
        <v>14.4</v>
      </c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13</v>
      </c>
      <c r="AQ127" s="89" t="str">
        <f t="shared" si="7"/>
        <v/>
      </c>
      <c r="AR127" s="89">
        <f>IFERROR(VLOOKUP(A127,Climatologia!A:U,9+$E$2,FALSE),"")</f>
        <v>13.308933276833161</v>
      </c>
      <c r="AS127" s="89" t="str">
        <f t="shared" si="8"/>
        <v/>
      </c>
      <c r="AT127" s="90">
        <f t="shared" si="9"/>
        <v>13.2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5.1999999999999993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>
        <v>7.6</v>
      </c>
      <c r="X129" s="51">
        <v>10.4</v>
      </c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14</v>
      </c>
      <c r="AQ129" s="89" t="str">
        <f t="shared" si="7"/>
        <v/>
      </c>
      <c r="AR129" s="89">
        <f>IFERROR(VLOOKUP(A129,Climatologia!A:U,9+$E$2,FALSE),"")</f>
        <v>9.236293266429529</v>
      </c>
      <c r="AS129" s="89" t="str">
        <f t="shared" si="8"/>
        <v/>
      </c>
      <c r="AT129" s="90">
        <f t="shared" si="9"/>
        <v>7.6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3.3999999999999995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>
        <v>8.6</v>
      </c>
      <c r="X130" s="51">
        <v>11.8</v>
      </c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14</v>
      </c>
      <c r="AQ130" s="89" t="str">
        <f t="shared" si="7"/>
        <v/>
      </c>
      <c r="AR130" s="89">
        <f>IFERROR(VLOOKUP(A130,Climatologia!A:U,9+$E$2,FALSE),"")</f>
        <v>10.41098422703651</v>
      </c>
      <c r="AS130" s="89" t="str">
        <f t="shared" si="8"/>
        <v/>
      </c>
      <c r="AT130" s="90">
        <f t="shared" si="9"/>
        <v>8.6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2.1999999999999993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>
        <v>16.8</v>
      </c>
      <c r="X131" s="51">
        <v>17</v>
      </c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14</v>
      </c>
      <c r="AQ131" s="89" t="str">
        <f t="shared" si="7"/>
        <v/>
      </c>
      <c r="AR131" s="89">
        <f>IFERROR(VLOOKUP(A131,Climatologia!A:U,9+$E$2,FALSE),"")</f>
        <v>14.78700374480772</v>
      </c>
      <c r="AS131" s="89" t="str">
        <f t="shared" si="8"/>
        <v/>
      </c>
      <c r="AT131" s="90">
        <f t="shared" si="9"/>
        <v>15.4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4.4000000000000004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>
        <v>4</v>
      </c>
      <c r="X132" s="51">
        <v>4.4000000000000004</v>
      </c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14</v>
      </c>
      <c r="AQ132" s="89" t="str">
        <f t="shared" si="7"/>
        <v/>
      </c>
      <c r="AR132" s="89">
        <f>IFERROR(VLOOKUP(A132,Climatologia!A:U,9+$E$2,FALSE),"")</f>
        <v>5.8955999815287932</v>
      </c>
      <c r="AS132" s="89" t="str">
        <f t="shared" si="8"/>
        <v/>
      </c>
      <c r="AT132" s="90">
        <f t="shared" si="9"/>
        <v>4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2.8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>
        <v>14.2</v>
      </c>
      <c r="X134" s="51">
        <v>15</v>
      </c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12</v>
      </c>
      <c r="AQ134" s="89" t="str">
        <f t="shared" si="12"/>
        <v/>
      </c>
      <c r="AR134" s="89">
        <f>IFERROR(VLOOKUP(A134,Climatologia!A:U,9+$E$2,FALSE),"")</f>
        <v>13.620393029291799</v>
      </c>
      <c r="AS134" s="89" t="str">
        <f t="shared" si="13"/>
        <v/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6.1999999999999993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>
        <v>9</v>
      </c>
      <c r="X135" s="51">
        <v>10.7</v>
      </c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14</v>
      </c>
      <c r="AQ135" s="89" t="str">
        <f t="shared" si="12"/>
        <v/>
      </c>
      <c r="AR135" s="89">
        <f>IFERROR(VLOOKUP(A135,Climatologia!A:U,9+$E$2,FALSE),"")</f>
        <v>9.1065439288804146</v>
      </c>
      <c r="AS135" s="89" t="str">
        <f t="shared" si="13"/>
        <v/>
      </c>
      <c r="AT135" s="90">
        <f t="shared" si="14"/>
        <v>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4.0999999999999996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>
        <v>13.8</v>
      </c>
      <c r="X136" s="51">
        <v>12.4</v>
      </c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14</v>
      </c>
      <c r="AQ136" s="89" t="str">
        <f t="shared" si="12"/>
        <v/>
      </c>
      <c r="AR136" s="89">
        <f>IFERROR(VLOOKUP(A136,Climatologia!A:U,9+$E$2,FALSE),"")</f>
        <v>12.59594623655914</v>
      </c>
      <c r="AS136" s="89" t="str">
        <f t="shared" si="13"/>
        <v/>
      </c>
      <c r="AT136" s="90">
        <f t="shared" si="14"/>
        <v>12.2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4.3999999999999995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>
        <v>5</v>
      </c>
      <c r="X137" s="51">
        <v>8.4</v>
      </c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14</v>
      </c>
      <c r="AQ137" s="89" t="str">
        <f t="shared" si="12"/>
        <v/>
      </c>
      <c r="AR137" s="89">
        <f>IFERROR(VLOOKUP(A137,Climatologia!A:U,9+$E$2,FALSE),"")</f>
        <v>8.5766227213911144</v>
      </c>
      <c r="AS137" s="89" t="str">
        <f t="shared" si="13"/>
        <v/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2.6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>
        <v>7.6</v>
      </c>
      <c r="W138" s="51">
        <v>5.8</v>
      </c>
      <c r="X138" s="51">
        <v>6.4</v>
      </c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14</v>
      </c>
      <c r="AQ138" s="89" t="str">
        <f t="shared" si="12"/>
        <v/>
      </c>
      <c r="AR138" s="89">
        <f>IFERROR(VLOOKUP(A138,Climatologia!A:U,9+$E$2,FALSE),"")</f>
        <v>6.6337893956247704</v>
      </c>
      <c r="AS138" s="89" t="str">
        <f t="shared" si="13"/>
        <v/>
      </c>
      <c r="AT138" s="90">
        <f t="shared" si="14"/>
        <v>5.8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>
        <v>24.8</v>
      </c>
      <c r="X139" s="51">
        <v>25.2</v>
      </c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14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>
        <v>11.8</v>
      </c>
      <c r="X140" s="51">
        <v>11.6</v>
      </c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14</v>
      </c>
      <c r="AQ140" s="89" t="str">
        <f t="shared" si="12"/>
        <v/>
      </c>
      <c r="AR140" s="89">
        <f>IFERROR(VLOOKUP(A140,Climatologia!A:U,9+$E$2,FALSE),"")</f>
        <v>11.08632974910395</v>
      </c>
      <c r="AS140" s="89" t="str">
        <f t="shared" si="13"/>
        <v/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>
        <v>15.8</v>
      </c>
      <c r="X141" s="51">
        <v>15.4</v>
      </c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14</v>
      </c>
      <c r="AQ141" s="89" t="str">
        <f t="shared" si="12"/>
        <v/>
      </c>
      <c r="AR141" s="89">
        <f>IFERROR(VLOOKUP(A141,Climatologia!A:U,9+$E$2,FALSE),"")</f>
        <v>14.39065028161802</v>
      </c>
      <c r="AS141" s="89" t="str">
        <f t="shared" si="13"/>
        <v/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>
        <v>28</v>
      </c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13</v>
      </c>
      <c r="AQ142" s="89" t="str">
        <f t="shared" si="12"/>
        <v/>
      </c>
      <c r="AR142" s="89">
        <f>IFERROR(VLOOKUP(A142,Climatologia!A:U,9+$E$2,FALSE),"")</f>
        <v>22.55356989247311</v>
      </c>
      <c r="AS142" s="89" t="str">
        <f t="shared" si="13"/>
        <v/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>
        <v>21.6</v>
      </c>
      <c r="X143" s="51">
        <v>21.2</v>
      </c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14</v>
      </c>
      <c r="AQ143" s="89" t="str">
        <f t="shared" si="12"/>
        <v/>
      </c>
      <c r="AR143" s="89">
        <f>IFERROR(VLOOKUP(A143,Climatologia!A:U,9+$E$2,FALSE),"")</f>
        <v>19.318198924731181</v>
      </c>
      <c r="AS143" s="89" t="str">
        <f t="shared" si="13"/>
        <v/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>
        <v>26</v>
      </c>
      <c r="X144" s="51">
        <v>24.6</v>
      </c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14</v>
      </c>
      <c r="AQ144" s="89" t="str">
        <f t="shared" si="12"/>
        <v/>
      </c>
      <c r="AR144" s="89">
        <f>IFERROR(VLOOKUP(A144,Climatologia!A:U,9+$E$2,FALSE),"")</f>
        <v>23.19416875486397</v>
      </c>
      <c r="AS144" s="89" t="str">
        <f t="shared" si="13"/>
        <v/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>
        <v>18</v>
      </c>
      <c r="X145" s="51">
        <v>18</v>
      </c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14</v>
      </c>
      <c r="AQ145" s="89" t="str">
        <f t="shared" si="12"/>
        <v/>
      </c>
      <c r="AR145" s="89">
        <f>IFERROR(VLOOKUP(A145,Climatologia!A:U,9+$E$2,FALSE),"")</f>
        <v>15.79466943151284</v>
      </c>
      <c r="AS145" s="89" t="str">
        <f t="shared" si="13"/>
        <v/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>
        <v>14</v>
      </c>
      <c r="X146" s="51">
        <v>15.4</v>
      </c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14</v>
      </c>
      <c r="AQ146" s="89" t="str">
        <f t="shared" si="12"/>
        <v/>
      </c>
      <c r="AR146" s="89">
        <f>IFERROR(VLOOKUP(A146,Climatologia!A:U,9+$E$2,FALSE),"")</f>
        <v>13.67439615180003</v>
      </c>
      <c r="AS146" s="89" t="str">
        <f t="shared" si="13"/>
        <v/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>
        <v>18.2</v>
      </c>
      <c r="X147" s="51">
        <v>17.399999999999999</v>
      </c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14</v>
      </c>
      <c r="AQ147" s="89" t="str">
        <f t="shared" si="12"/>
        <v/>
      </c>
      <c r="AR147" s="89">
        <f>IFERROR(VLOOKUP(A147,Climatologia!A:U,9+$E$2,FALSE),"")</f>
        <v>14.54256377143717</v>
      </c>
      <c r="AS147" s="89" t="str">
        <f t="shared" si="13"/>
        <v/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>
        <v>26.2</v>
      </c>
      <c r="X150" s="51">
        <v>26</v>
      </c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14</v>
      </c>
      <c r="AQ150" s="89" t="str">
        <f t="shared" si="12"/>
        <v/>
      </c>
      <c r="AR150" s="89">
        <f>IFERROR(VLOOKUP(A150,Climatologia!A:U,9+$E$2,FALSE),"")</f>
        <v>22.358974539611911</v>
      </c>
      <c r="AS150" s="89" t="str">
        <f t="shared" si="13"/>
        <v/>
      </c>
      <c r="AT150" s="90">
        <f t="shared" si="14"/>
        <v>24.2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5.1999999999999993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>
        <v>25.4</v>
      </c>
      <c r="X151" s="51">
        <v>24.2</v>
      </c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14</v>
      </c>
      <c r="AQ151" s="89" t="str">
        <f t="shared" si="12"/>
        <v/>
      </c>
      <c r="AR151" s="89">
        <f>IFERROR(VLOOKUP(A151,Climatologia!A:U,9+$E$2,FALSE),"")</f>
        <v>23.435096179938832</v>
      </c>
      <c r="AS151" s="89" t="str">
        <f t="shared" si="13"/>
        <v/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6.3999999999999986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>
        <v>15.4</v>
      </c>
      <c r="X152" s="51">
        <v>16.8</v>
      </c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14</v>
      </c>
      <c r="AQ152" s="89" t="str">
        <f t="shared" si="12"/>
        <v/>
      </c>
      <c r="AR152" s="89">
        <f>IFERROR(VLOOKUP(A152,Climatologia!A:U,9+$E$2,FALSE),"")</f>
        <v>14.28172753446659</v>
      </c>
      <c r="AS152" s="89" t="str">
        <f t="shared" si="13"/>
        <v/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>
        <v>20.6</v>
      </c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13</v>
      </c>
      <c r="AQ153" s="89" t="str">
        <f t="shared" si="12"/>
        <v/>
      </c>
      <c r="AR153" s="89">
        <f>IFERROR(VLOOKUP(A153,Climatologia!A:U,9+$E$2,FALSE),"")</f>
        <v>19.33438505823419</v>
      </c>
      <c r="AS153" s="89" t="str">
        <f t="shared" si="13"/>
        <v/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>
        <v>16.399999999999999</v>
      </c>
      <c r="X154" s="51">
        <v>16</v>
      </c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14</v>
      </c>
      <c r="AQ154" s="89" t="str">
        <f t="shared" si="12"/>
        <v/>
      </c>
      <c r="AR154" s="89">
        <f>IFERROR(VLOOKUP(A154,Climatologia!A:U,9+$E$2,FALSE),"")</f>
        <v>15.34016874367072</v>
      </c>
      <c r="AS154" s="89" t="str">
        <f t="shared" si="13"/>
        <v/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>
        <v>18.600000000000001</v>
      </c>
      <c r="X155" s="51">
        <v>19.399999999999999</v>
      </c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14</v>
      </c>
      <c r="AQ155" s="89" t="str">
        <f t="shared" si="12"/>
        <v/>
      </c>
      <c r="AR155" s="89">
        <f>IFERROR(VLOOKUP(A155,Climatologia!A:U,9+$E$2,FALSE),"")</f>
        <v>17.753898511573709</v>
      </c>
      <c r="AS155" s="89" t="str">
        <f t="shared" si="13"/>
        <v/>
      </c>
      <c r="AT155" s="90">
        <f t="shared" si="14"/>
        <v>18.399999999999999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5.3999999999999986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>
        <v>9.1999999999999993</v>
      </c>
      <c r="X157" s="51">
        <v>11.6</v>
      </c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14</v>
      </c>
      <c r="AQ157" s="89" t="str">
        <f t="shared" si="12"/>
        <v/>
      </c>
      <c r="AR157" s="89">
        <f>IFERROR(VLOOKUP(A157,Climatologia!A:U,9+$E$2,FALSE),"")</f>
        <v>9.0629738863287237</v>
      </c>
      <c r="AS157" s="89" t="str">
        <f t="shared" si="13"/>
        <v/>
      </c>
      <c r="AT157" s="90">
        <f t="shared" si="14"/>
        <v>7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1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>
        <v>13.4</v>
      </c>
      <c r="X158" s="51">
        <v>15.4</v>
      </c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14</v>
      </c>
      <c r="AQ158" s="89" t="str">
        <f t="shared" si="12"/>
        <v/>
      </c>
      <c r="AR158" s="89">
        <f>IFERROR(VLOOKUP(A158,Climatologia!A:U,9+$E$2,FALSE),"")</f>
        <v>13.99486833930705</v>
      </c>
      <c r="AS158" s="89" t="str">
        <f t="shared" si="13"/>
        <v/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>
        <v>20</v>
      </c>
      <c r="X159" s="51">
        <v>21.6</v>
      </c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14</v>
      </c>
      <c r="AQ159" s="89" t="str">
        <f t="shared" si="12"/>
        <v/>
      </c>
      <c r="AR159" s="89">
        <f>IFERROR(VLOOKUP(A159,Climatologia!A:U,9+$E$2,FALSE),"")</f>
        <v>19.80259102706712</v>
      </c>
      <c r="AS159" s="89" t="str">
        <f t="shared" si="13"/>
        <v/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>
        <v>6</v>
      </c>
      <c r="X160" s="51">
        <v>7.2</v>
      </c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14</v>
      </c>
      <c r="AQ160" s="89" t="str">
        <f t="shared" si="12"/>
        <v/>
      </c>
      <c r="AR160" s="89">
        <f>IFERROR(VLOOKUP(A160,Climatologia!A:U,9+$E$2,FALSE),"")</f>
        <v>5.545852566091324</v>
      </c>
      <c r="AS160" s="89" t="str">
        <f t="shared" si="13"/>
        <v/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>
        <v>22.2</v>
      </c>
      <c r="X161" s="51">
        <v>22</v>
      </c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14</v>
      </c>
      <c r="AQ161" s="89" t="str">
        <f t="shared" si="12"/>
        <v/>
      </c>
      <c r="AR161" s="89">
        <f>IFERROR(VLOOKUP(A161,Climatologia!A:U,9+$E$2,FALSE),"")</f>
        <v>20.699024154274429</v>
      </c>
      <c r="AS161" s="89" t="str">
        <f t="shared" si="13"/>
        <v/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>
        <v>14.8</v>
      </c>
      <c r="X162" s="51">
        <v>14.4</v>
      </c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14</v>
      </c>
      <c r="AQ162" s="89" t="str">
        <f t="shared" si="12"/>
        <v/>
      </c>
      <c r="AR162" s="89">
        <f>IFERROR(VLOOKUP(A162,Climatologia!A:U,9+$E$2,FALSE),"")</f>
        <v>13.81981919292388</v>
      </c>
      <c r="AS162" s="89" t="str">
        <f t="shared" si="13"/>
        <v/>
      </c>
      <c r="AT162" s="90">
        <f t="shared" si="14"/>
        <v>14.4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5.2000000000000011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>
        <v>19</v>
      </c>
      <c r="X163" s="51">
        <v>18</v>
      </c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14</v>
      </c>
      <c r="AQ163" s="89" t="str">
        <f t="shared" si="12"/>
        <v/>
      </c>
      <c r="AR163" s="89">
        <f>IFERROR(VLOOKUP(A163,Climatologia!A:U,9+$E$2,FALSE),"")</f>
        <v>17.92353706847765</v>
      </c>
      <c r="AS163" s="89" t="str">
        <f t="shared" si="13"/>
        <v/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>
        <v>19.399999999999999</v>
      </c>
      <c r="X164" s="51">
        <v>19.600000000000001</v>
      </c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14</v>
      </c>
      <c r="AQ164" s="89" t="str">
        <f t="shared" si="12"/>
        <v/>
      </c>
      <c r="AR164" s="89">
        <f>IFERROR(VLOOKUP(A164,Climatologia!A:U,9+$E$2,FALSE),"")</f>
        <v>19.04428975316489</v>
      </c>
      <c r="AS164" s="89" t="str">
        <f t="shared" si="13"/>
        <v/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>
        <v>7.6</v>
      </c>
      <c r="X165" s="51">
        <v>10.8</v>
      </c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11</v>
      </c>
      <c r="AQ165" s="89" t="str">
        <f t="shared" si="12"/>
        <v/>
      </c>
      <c r="AR165" s="89">
        <f>IFERROR(VLOOKUP(A165,Climatologia!A:U,9+$E$2,FALSE),"")</f>
        <v>8.2009357976098798</v>
      </c>
      <c r="AS165" s="89" t="str">
        <f t="shared" si="13"/>
        <v/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>
        <v>18</v>
      </c>
      <c r="Q166" s="51">
        <v>20.6</v>
      </c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5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8</v>
      </c>
      <c r="AQ169" s="89" t="str">
        <f t="shared" si="12"/>
        <v/>
      </c>
      <c r="AR169" s="89">
        <f>IFERROR(VLOOKUP(A169,Climatologia!A:U,9+$E$2,FALSE),"")</f>
        <v>18.98804930581305</v>
      </c>
      <c r="AS169" s="89" t="str">
        <f t="shared" si="13"/>
        <v/>
      </c>
      <c r="AT169" s="90">
        <f t="shared" si="14"/>
        <v>19.2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4.1999999999999993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>
        <v>13.2</v>
      </c>
      <c r="X170" s="51">
        <v>13.4</v>
      </c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14</v>
      </c>
      <c r="AQ170" s="89" t="str">
        <f t="shared" si="12"/>
        <v/>
      </c>
      <c r="AR170" s="89">
        <f>IFERROR(VLOOKUP(A170,Climatologia!A:U,9+$E$2,FALSE),"")</f>
        <v>13.515835523098669</v>
      </c>
      <c r="AS170" s="89" t="str">
        <f t="shared" si="13"/>
        <v/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25.8</v>
      </c>
      <c r="R172" s="51">
        <v>25.8</v>
      </c>
      <c r="S172" s="51"/>
      <c r="T172" s="51"/>
      <c r="U172" s="51">
        <v>25.6</v>
      </c>
      <c r="V172" s="51">
        <v>26.2</v>
      </c>
      <c r="W172" s="51">
        <v>24.4</v>
      </c>
      <c r="X172" s="51">
        <v>25.4</v>
      </c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12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5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>
        <v>20.2</v>
      </c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11</v>
      </c>
      <c r="AQ175" s="89" t="str">
        <f t="shared" si="12"/>
        <v/>
      </c>
      <c r="AR175" s="89">
        <f>IFERROR(VLOOKUP(A175,Climatologia!A:U,9+$E$2,FALSE),"")</f>
        <v>20.369629293079871</v>
      </c>
      <c r="AS175" s="89" t="str">
        <f t="shared" si="13"/>
        <v/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>
        <v>21.6</v>
      </c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13</v>
      </c>
      <c r="AQ176" s="89" t="str">
        <f t="shared" si="12"/>
        <v/>
      </c>
      <c r="AR176" s="89">
        <f>IFERROR(VLOOKUP(A176,Climatologia!A:U,9+$E$2,FALSE),"")</f>
        <v>21.653737839221709</v>
      </c>
      <c r="AS176" s="89" t="str">
        <f t="shared" si="13"/>
        <v/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>
        <v>13.8</v>
      </c>
      <c r="X179" s="51">
        <v>14.4</v>
      </c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14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9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>
        <v>26.6</v>
      </c>
      <c r="X181" s="51">
        <v>24.2</v>
      </c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13</v>
      </c>
      <c r="AQ181" s="89" t="str">
        <f t="shared" si="12"/>
        <v/>
      </c>
      <c r="AR181" s="89">
        <f>IFERROR(VLOOKUP(A181,Climatologia!A:U,9+$E$2,FALSE),"")</f>
        <v>21.70483579702303</v>
      </c>
      <c r="AS181" s="89" t="str">
        <f t="shared" si="13"/>
        <v/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>
        <v>14.8</v>
      </c>
      <c r="X182" s="51">
        <v>14</v>
      </c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14</v>
      </c>
      <c r="AQ182" s="89" t="str">
        <f t="shared" si="12"/>
        <v/>
      </c>
      <c r="AR182" s="89">
        <f>IFERROR(VLOOKUP(A182,Climatologia!A:U,9+$E$2,FALSE),"")</f>
        <v>14.173503840245781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>
        <v>18</v>
      </c>
      <c r="X183" s="51">
        <v>19.2</v>
      </c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14</v>
      </c>
      <c r="AQ183" s="89" t="str">
        <f t="shared" si="12"/>
        <v/>
      </c>
      <c r="AR183" s="89">
        <f>IFERROR(VLOOKUP(A183,Climatologia!A:U,9+$E$2,FALSE),"")</f>
        <v>20.070986681091949</v>
      </c>
      <c r="AS183" s="89" t="str">
        <f t="shared" si="13"/>
        <v/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>
        <v>21.2</v>
      </c>
      <c r="X184" s="51">
        <v>22</v>
      </c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14</v>
      </c>
      <c r="AQ184" s="89" t="str">
        <f t="shared" si="12"/>
        <v/>
      </c>
      <c r="AR184" s="89">
        <f>IFERROR(VLOOKUP(A184,Climatologia!A:U,9+$E$2,FALSE),"")</f>
        <v>20.076368634370251</v>
      </c>
      <c r="AS184" s="89" t="str">
        <f t="shared" si="13"/>
        <v/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>
        <v>15</v>
      </c>
      <c r="X185" s="51">
        <v>16.2</v>
      </c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14</v>
      </c>
      <c r="AQ185" s="89" t="str">
        <f t="shared" si="12"/>
        <v/>
      </c>
      <c r="AR185" s="89">
        <f>IFERROR(VLOOKUP(A185,Climatologia!A:U,9+$E$2,FALSE),"")</f>
        <v>17.074088213241051</v>
      </c>
      <c r="AS185" s="89" t="str">
        <f t="shared" si="13"/>
        <v/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>
        <v>24.4</v>
      </c>
      <c r="X186" s="51">
        <v>23.6</v>
      </c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13</v>
      </c>
      <c r="AQ186" s="89" t="str">
        <f t="shared" si="12"/>
        <v/>
      </c>
      <c r="AR186" s="89">
        <f>IFERROR(VLOOKUP(A186,Climatologia!A:U,9+$E$2,FALSE),"")</f>
        <v>20.422025791399172</v>
      </c>
      <c r="AS186" s="89" t="str">
        <f t="shared" si="13"/>
        <v/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>
        <v>18.399999999999999</v>
      </c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11</v>
      </c>
      <c r="AQ187" s="89" t="str">
        <f t="shared" si="12"/>
        <v/>
      </c>
      <c r="AR187" s="89">
        <f>IFERROR(VLOOKUP(A187,Climatologia!A:U,9+$E$2,FALSE),"")</f>
        <v>16.993025163915739</v>
      </c>
      <c r="AS187" s="89" t="str">
        <f t="shared" si="13"/>
        <v/>
      </c>
      <c r="AT187" s="90">
        <f t="shared" si="14"/>
        <v>17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>
        <v>21.2</v>
      </c>
      <c r="X188" s="51">
        <v>22.8</v>
      </c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14</v>
      </c>
      <c r="AQ188" s="89" t="str">
        <f t="shared" si="12"/>
        <v/>
      </c>
      <c r="AR188" s="89">
        <f>IFERROR(VLOOKUP(A188,Climatologia!A:U,9+$E$2,FALSE),"")</f>
        <v>20.28174546114397</v>
      </c>
      <c r="AS188" s="89" t="str">
        <f t="shared" si="13"/>
        <v/>
      </c>
      <c r="AT188" s="90">
        <f t="shared" si="14"/>
        <v>21.2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5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>
        <v>17.8</v>
      </c>
      <c r="X189" s="51">
        <v>19.399999999999999</v>
      </c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14</v>
      </c>
      <c r="AQ189" s="89" t="str">
        <f t="shared" si="12"/>
        <v/>
      </c>
      <c r="AR189" s="89">
        <f>IFERROR(VLOOKUP(A189,Climatologia!A:U,9+$E$2,FALSE),"")</f>
        <v>15.63081985682097</v>
      </c>
      <c r="AS189" s="89" t="str">
        <f t="shared" si="13"/>
        <v/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12</v>
      </c>
      <c r="AQ190" s="89" t="str">
        <f t="shared" si="12"/>
        <v/>
      </c>
      <c r="AR190" s="89">
        <f>IFERROR(VLOOKUP(A190,Climatologia!A:U,9+$E$2,FALSE),"")</f>
        <v>11.261282597948339</v>
      </c>
      <c r="AS190" s="89" t="str">
        <f t="shared" si="13"/>
        <v/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>
        <v>10</v>
      </c>
      <c r="X191" s="51">
        <v>8</v>
      </c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14</v>
      </c>
      <c r="AQ191" s="89" t="str">
        <f t="shared" si="12"/>
        <v/>
      </c>
      <c r="AR191" s="89">
        <f>IFERROR(VLOOKUP(A191,Climatologia!A:U,9+$E$2,FALSE),"")</f>
        <v>6.994628239761723</v>
      </c>
      <c r="AS191" s="89" t="str">
        <f t="shared" si="13"/>
        <v/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>
        <v>23.6</v>
      </c>
      <c r="W192" s="51">
        <v>21.8</v>
      </c>
      <c r="X192" s="51">
        <v>23.2</v>
      </c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14</v>
      </c>
      <c r="AQ192" s="89" t="str">
        <f t="shared" si="12"/>
        <v/>
      </c>
      <c r="AR192" s="89">
        <f>IFERROR(VLOOKUP(A192,Climatologia!A:U,9+$E$2,FALSE),"")</f>
        <v>19.908691930571798</v>
      </c>
      <c r="AS192" s="89" t="str">
        <f t="shared" si="13"/>
        <v/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>
        <v>9.1999999999999993</v>
      </c>
      <c r="X193" s="51">
        <v>10.4</v>
      </c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14</v>
      </c>
      <c r="AQ193" s="89" t="str">
        <f t="shared" si="12"/>
        <v/>
      </c>
      <c r="AR193" s="89">
        <f>IFERROR(VLOOKUP(A193,Climatologia!A:U,9+$E$2,FALSE),"")</f>
        <v>8.0869853706863069</v>
      </c>
      <c r="AS193" s="89" t="str">
        <f t="shared" si="13"/>
        <v/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>
        <v>10.199999999999999</v>
      </c>
      <c r="T194" s="51">
        <v>8.6</v>
      </c>
      <c r="U194" s="51">
        <v>10.4</v>
      </c>
      <c r="V194" s="51">
        <v>9.8000000000000007</v>
      </c>
      <c r="W194" s="51">
        <v>8.4</v>
      </c>
      <c r="X194" s="51">
        <v>9.6</v>
      </c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14</v>
      </c>
      <c r="AQ194" s="89" t="str">
        <f t="shared" si="12"/>
        <v/>
      </c>
      <c r="AR194" s="89">
        <f>IFERROR(VLOOKUP(A194,Climatologia!A:U,9+$E$2,FALSE),"")</f>
        <v>7.6640343615186746</v>
      </c>
      <c r="AS194" s="89" t="str">
        <f t="shared" si="13"/>
        <v/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12</v>
      </c>
      <c r="AQ196" s="89" t="str">
        <f t="shared" si="12"/>
        <v/>
      </c>
      <c r="AR196" s="89">
        <f>IFERROR(VLOOKUP(A196,Climatologia!A:U,9+$E$2,FALSE),"")</f>
        <v>7.3820830111058147</v>
      </c>
      <c r="AS196" s="89" t="str">
        <f t="shared" si="13"/>
        <v/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>
        <v>9.1999999999999993</v>
      </c>
      <c r="X197" s="51">
        <v>9</v>
      </c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14</v>
      </c>
      <c r="AQ197" s="89" t="str">
        <f t="shared" ref="AQ197:AQ260" si="17">IF(AP197&gt;14,AVERAGE(K197:AO197),"")</f>
        <v/>
      </c>
      <c r="AR197" s="89">
        <f>IFERROR(VLOOKUP(A197,Climatologia!A:U,9+$E$2,FALSE),"")</f>
        <v>6.382935282589119</v>
      </c>
      <c r="AS197" s="89" t="str">
        <f t="shared" ref="AS197:AS260" si="18">IF(OR(AQ197="",AR197=""),"",IFERROR(AQ197-AR197,""))</f>
        <v/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>
        <v>8.4</v>
      </c>
      <c r="X198" s="51">
        <v>10.199999999999999</v>
      </c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14</v>
      </c>
      <c r="AQ198" s="89" t="str">
        <f t="shared" si="17"/>
        <v/>
      </c>
      <c r="AR198" s="89">
        <f>IFERROR(VLOOKUP(A198,Climatologia!A:U,9+$E$2,FALSE),"")</f>
        <v>7.491938037728997</v>
      </c>
      <c r="AS198" s="89" t="str">
        <f t="shared" si="18"/>
        <v/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>
        <v>10.199999999999999</v>
      </c>
      <c r="X199" s="51">
        <v>9</v>
      </c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14</v>
      </c>
      <c r="AQ199" s="89" t="str">
        <f t="shared" si="17"/>
        <v/>
      </c>
      <c r="AR199" s="89">
        <f>IFERROR(VLOOKUP(A199,Climatologia!A:U,9+$E$2,FALSE),"")</f>
        <v>7.4487940592962838</v>
      </c>
      <c r="AS199" s="89" t="str">
        <f t="shared" si="18"/>
        <v/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>
        <v>9.8000000000000007</v>
      </c>
      <c r="W200" s="51">
        <v>9</v>
      </c>
      <c r="X200" s="51">
        <v>11</v>
      </c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12</v>
      </c>
      <c r="AQ200" s="89" t="str">
        <f t="shared" si="17"/>
        <v/>
      </c>
      <c r="AR200" s="89">
        <f>IFERROR(VLOOKUP(A200,Climatologia!A:U,9+$E$2,FALSE),"")</f>
        <v>7.107223600771988</v>
      </c>
      <c r="AS200" s="89" t="str">
        <f t="shared" si="18"/>
        <v/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>
        <v>10.199999999999999</v>
      </c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13</v>
      </c>
      <c r="AQ201" s="89" t="str">
        <f t="shared" si="17"/>
        <v/>
      </c>
      <c r="AR201" s="89">
        <f>IFERROR(VLOOKUP(A201,Climatologia!A:U,9+$E$2,FALSE),"")</f>
        <v>6.8025057736192744</v>
      </c>
      <c r="AS201" s="89" t="str">
        <f t="shared" si="18"/>
        <v/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>
        <v>10</v>
      </c>
      <c r="X202" s="51">
        <v>10.199999999999999</v>
      </c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10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>
        <v>9.1999999999999993</v>
      </c>
      <c r="X203" s="51">
        <v>9.1999999999999993</v>
      </c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14</v>
      </c>
      <c r="AQ203" s="89" t="str">
        <f t="shared" si="17"/>
        <v/>
      </c>
      <c r="AR203" s="89">
        <f>IFERROR(VLOOKUP(A203,Climatologia!A:U,9+$E$2,FALSE),"")</f>
        <v>7.9932587877038674</v>
      </c>
      <c r="AS203" s="89" t="str">
        <f t="shared" si="18"/>
        <v/>
      </c>
      <c r="AT203" s="90">
        <f t="shared" si="19"/>
        <v>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5.0999999999999996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>
        <v>4</v>
      </c>
      <c r="X204" s="51">
        <v>4.8</v>
      </c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14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>
        <v>10.6</v>
      </c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13</v>
      </c>
      <c r="AQ206" s="89" t="str">
        <f t="shared" si="17"/>
        <v/>
      </c>
      <c r="AR206" s="89">
        <f>IFERROR(VLOOKUP(A206,Climatologia!A:U,9+$E$2,FALSE),"")</f>
        <v>9.3415228944019546</v>
      </c>
      <c r="AS206" s="89" t="str">
        <f t="shared" si="18"/>
        <v/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>
        <v>6.2</v>
      </c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13</v>
      </c>
      <c r="AQ207" s="89" t="str">
        <f t="shared" si="17"/>
        <v/>
      </c>
      <c r="AR207" s="89">
        <f>IFERROR(VLOOKUP(A207,Climatologia!A:U,9+$E$2,FALSE),"")</f>
        <v>5.0408940752175297</v>
      </c>
      <c r="AS207" s="89" t="str">
        <f t="shared" si="18"/>
        <v/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>
        <v>23.8</v>
      </c>
      <c r="W208" s="51">
        <v>24</v>
      </c>
      <c r="X208" s="51">
        <v>23</v>
      </c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14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4" t="s">
        <v>848</v>
      </c>
      <c r="B1" s="124" t="s">
        <v>8</v>
      </c>
      <c r="C1" s="124" t="s">
        <v>11</v>
      </c>
      <c r="D1" s="124" t="s">
        <v>10</v>
      </c>
      <c r="E1" s="124" t="s">
        <v>12</v>
      </c>
      <c r="F1" s="124" t="s">
        <v>16</v>
      </c>
      <c r="G1" s="124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2026-08-14T15:10:01Z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2026-08-14T15:09:47Z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11f9e2df-21f6-4cb4-92d6-a26fef8b93e9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