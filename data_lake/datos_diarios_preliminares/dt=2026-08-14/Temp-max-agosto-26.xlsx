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1D1089D8-B220-440C-A0F0-15176AFD4481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<sst xmlns="http://schemas.openxmlformats.org/spreadsheetml/2006/main" count="604" uniqueCount="273">
  <si>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</si>
  <si>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</si>
  <si>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</si>
  <si>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</si>
  <si>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</si>
  <si>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</si>
  <si>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</si>
  <si>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</si>
  <si>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</si>
  <si>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</si>
  <si>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</si>
  <si>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</si>
  <si>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</si>
  <si>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</si>
  <si>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</si>
  <si>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</si>
  <si>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</si>
  <si>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</si>
  <si>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</si>
  <si>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</si>
  <si>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</si>
  <si>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</si>
  <si>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</si>
  <si>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</si>
  <si>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</si>
  <si>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</si>
  <si>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</si>
  <si>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</si>
  <si>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</si>
  <si>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</si>
  <si>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</si>
  <si>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</si>
  <si>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</si>
  <si>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</si>
  <si>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</si>
  <si>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</si>
  <si>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</si>
  <si>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</si>
  <si>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</si>
  <si>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</si>
  <si>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</si>
  <si>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</si>
  <si>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</si>
  <si>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</si>
  <si>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</si>
  <si>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</si>
  <si>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</si>
  <si>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</si>
  <si>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</si>
  <si>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</si>
  <si>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</si>
  <si>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</si>
  <si>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</si>
  <si>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</si>
  <si>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</si>
  <si>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</si>
  <si>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</si>
  <si>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</si>
  <si>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</si>
  <si>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</si>
  <si>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</si>
  <si>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</si>
  <si>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</si>
  <si>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</si>
  <si>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</si>
  <si>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</si>
  <si>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</si>
  <si>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</si>
  <si>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</si>
  <si>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</si>
  <si>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</si>
  <si>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</si>
  <si>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</si>
  <si>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</si>
  <si>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</si>
  <si>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</si>
  <si>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</si>
  <si>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</si>
  <si>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</si>
  <si>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</si>
  <si>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</si>
  <si>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</si>
  <si>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</si>
  <si>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</si>
  <si>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</si>
  <si>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</si>
  <si>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</si>
  <si>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</si>
  <si>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</si>
  <si>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</si>
  <si>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</si>
  <si>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</si>
  <si>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</si>
  <si>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</si>
  <si>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</si>
  <si>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</si>
  <si>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</si>
  <si>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</si>
  <si>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</si>
  <si>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</si>
  <si>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</si>
  <si>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</si>
  <si>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</si>
  <si>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</si>
  <si>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</si>
  <si>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</si>
  <si>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</si>
  <si>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</si>
  <si>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</si>
  <si>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</si>
  <si>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</si>
  <si>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</si>
  <si>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</si>
  <si>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</si>
  <si>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</si>
  <si>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</si>
  <si>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</si>
  <si>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</si>
  <si>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</si>
  <si>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</si>
  <si>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</si>
  <si>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</si>
  <si>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</si>
  <si>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</si>
  <si>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</si>
  <si>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</si>
  <si>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</si>
  <si>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</si>
  <si>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</si>
  <si>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</si>
  <si>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</si>
  <si>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</si>
  <si>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</si>
  <si>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</si>
  <si>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</si>
  <si>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</si>
  <si>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</si>
  <si>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</si>
  <si>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</si>
  <si>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</si>
  <si>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</si>
  <si>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</si>
  <si>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</si>
  <si>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</si>
  <si>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</si>
  <si>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</si>
  <si>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</si>
  <si>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</si>
  <si>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</si>
  <si>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</si>
  <si>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</si>
  <si>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</si>
  <si>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</si>
  <si>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</si>
  <si>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</si>
  <si>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</si>
  <si>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</si>
  <si>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</si>
  <si>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</si>
  <si>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</si>
  <si>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</si>
  <si>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</si>
  <si>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</si>
  <si>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</si>
  <si>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</si>
  <si>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</si>
  <si>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</si>
  <si>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</si>
  <si>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</si>
  <si>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</si>
  <si>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</si>
  <si>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</si>
  <si>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</si>
  <si>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</si>
  <si>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</si>
  <si>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</si>
  <si>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</si>
  <si>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</si>
  <si>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</si>
  <si>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</si>
  <si>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</si>
  <si>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</si>
  <si>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</si>
  <si>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</si>
  <si>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</si>
  <si>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</si>
  <si>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</si>
  <si>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</si>
  <si>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</si>
  <si>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</si>
  <si>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</si>
  <si>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</si>
  <si>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</si>
  <si>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</si>
  <si>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</si>
  <si>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</si>
  <si>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</si>
  <si>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</si>
  <si>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</si>
  <si>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</si>
  <si>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</si>
  <si>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</si>
  <si>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</si>
  <si>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</si>
  <si>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</si>
  <si>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</si>
  <si>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</si>
  <si>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</si>
  <si>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</si>
  <si>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</si>
  <si>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</si>
  <si>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</si>
  <si>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</si>
  <si>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</si>
  <si>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</si>
  <si>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</si>
  <si>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</si>
  <si>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</si>
  <si>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</si>
  <si>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</si>
  <si>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</si>
  <si>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</si>
  <si>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</si>
  <si>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</si>
  <si>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</si>
  <si>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</si>
  <si>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</si>
  <si>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</si>
  <si>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</si>
  <si>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</si>
  <si>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</si>
  <si>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</si>
  <si>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</si>
  <si>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</si>
  <si>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</si>
  <si>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</si>
  <si>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</si>
  <si>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</si>
  <si>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</si>
  <si>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</si>
  <si>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</si>
  <si>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</si>
  <si>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</si>
  <si>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</si>
  <si>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</si>
  <si>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</si>
  <si>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</si>
  <si>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</si>
  <si>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</si>
  <si>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</si>
  <si>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</si>
  <si>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</si>
  <si>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</si>
  <si>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</si>
  <si>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</si>
  <si>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</si>
  <si>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</si>
  <si>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</si>
  <si>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</si>
  <si>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</si>
  <si>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</si>
  <si>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</si>
  <si>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</si>
  <si>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</si>
  <si>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</si>
  <si>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</si>
  <si>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</si>
  <si>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</si>
  <si>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</si>
  <si>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</si>
  <si>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</si>
  <si>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</si>
  <si>
    <t>37.0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</si>
</sst>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1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right" vertical="center"/>
    </xf>
    <xf numFmtId="164" fontId="12" fillId="0" borderId="1" xfId="0" applyNumberFormat="1" applyFont="1" applyFill="1" applyBorder="1" applyAlignment="1">
      <alignment horizontal="right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H4" activePane="bottomRight" state="frozen"/>
      <selection pane="topRight" activeCell="E1" sqref="E1"/>
      <selection pane="bottomLeft" activeCell="A4" sqref="A4"/>
      <selection pane="bottomRight" activeCell="Z37" sqref="Z37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32.299999999999997</v>
      </c>
      <c r="AK5" s="21">
        <f>+MAX($E5:$AI5)</f>
        <v>32.299999999999997</v>
      </c>
      <c r="AL5" s="22">
        <v>33.1</v>
      </c>
      <c r="AM5" s="23">
        <f>IF(AK5&gt;0,$AK5-$AL5,"")</f>
        <v>-0.80000000000000426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32.700000000000003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79">
        <v>37.799999999999997</v>
      </c>
      <c r="P7" s="63">
        <v>35.4</v>
      </c>
      <c r="Q7" s="63">
        <v>33.799999999999997</v>
      </c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33.799999999999997</v>
      </c>
      <c r="AK7" s="21">
        <f t="shared" si="1"/>
        <v>37.799999999999997</v>
      </c>
      <c r="AL7" s="22">
        <v>38.4</v>
      </c>
      <c r="AM7" s="23">
        <f t="shared" si="2"/>
        <v>-0.60000000000000142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79">
        <v>33.9</v>
      </c>
      <c r="P8" s="63">
        <v>33.799999999999997</v>
      </c>
      <c r="Q8" s="63">
        <v>33.799999999999997</v>
      </c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33.799999999999997</v>
      </c>
      <c r="AK8" s="21">
        <f t="shared" si="1"/>
        <v>34.6</v>
      </c>
      <c r="AL8" s="22">
        <v>36.9</v>
      </c>
      <c r="AM8" s="23">
        <f t="shared" si="2"/>
        <v>-2.2999999999999972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79">
        <v>34.9</v>
      </c>
      <c r="P9" s="63">
        <v>37.700000000000003</v>
      </c>
      <c r="Q9" s="63">
        <v>36.700000000000003</v>
      </c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36.700000000000003</v>
      </c>
      <c r="AK9" s="21">
        <f t="shared" si="1"/>
        <v>37.700000000000003</v>
      </c>
      <c r="AL9" s="22">
        <v>38.700000000000003</v>
      </c>
      <c r="AM9" s="23">
        <f t="shared" si="2"/>
        <v>-1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79">
        <v>37.9</v>
      </c>
      <c r="P10" s="63">
        <v>37.9</v>
      </c>
      <c r="Q10" s="63">
        <v>38.5</v>
      </c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38.5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79">
        <v>42.4</v>
      </c>
      <c r="P11" s="63">
        <v>41.5</v>
      </c>
      <c r="Q11" s="63">
        <v>39</v>
      </c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39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79">
        <v>37</v>
      </c>
      <c r="P12" s="63">
        <v>36.200000000000003</v>
      </c>
      <c r="Q12" s="63">
        <v>34.799999999999997</v>
      </c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34.799999999999997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79">
        <v>37.4</v>
      </c>
      <c r="P13" s="63">
        <v>37</v>
      </c>
      <c r="Q13" s="63">
        <v>36</v>
      </c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36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79">
        <v>37.1</v>
      </c>
      <c r="P14" s="63" t="s">
        <v>272</v>
      </c>
      <c r="Q14" s="63">
        <v>34.9</v>
      </c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34.9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79">
        <v>34.299999999999997</v>
      </c>
      <c r="P15" s="63">
        <v>32.6</v>
      </c>
      <c r="Q15" s="63">
        <v>33.200000000000003</v>
      </c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33.200000000000003</v>
      </c>
      <c r="AK15" s="21">
        <f t="shared" si="1"/>
        <v>34.299999999999997</v>
      </c>
      <c r="AL15" s="22">
        <v>35</v>
      </c>
      <c r="AM15" s="23">
        <f t="shared" si="2"/>
        <v>-0.70000000000000284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79">
        <v>38</v>
      </c>
      <c r="P17" s="63">
        <v>37.6</v>
      </c>
      <c r="Q17" s="63">
        <v>37.4</v>
      </c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37.4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79">
        <v>31.4</v>
      </c>
      <c r="P18" s="63">
        <v>31.2</v>
      </c>
      <c r="Q18" s="63">
        <v>30.2</v>
      </c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30.2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79">
        <v>35.200000000000003</v>
      </c>
      <c r="P19" s="63">
        <v>37.299999999999997</v>
      </c>
      <c r="Q19" s="63">
        <v>37.6</v>
      </c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37.6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79">
        <v>31.8</v>
      </c>
      <c r="P20" s="63">
        <v>31.8</v>
      </c>
      <c r="Q20" s="63">
        <v>31.9</v>
      </c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31.9</v>
      </c>
      <c r="AK20" s="21">
        <f t="shared" si="1"/>
        <v>32.4</v>
      </c>
      <c r="AL20" s="22">
        <v>33.6</v>
      </c>
      <c r="AM20" s="23">
        <f t="shared" si="2"/>
        <v>-1.2000000000000028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79">
        <v>25.2</v>
      </c>
      <c r="P21" s="63">
        <v>25.2</v>
      </c>
      <c r="Q21" s="63">
        <v>25</v>
      </c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25</v>
      </c>
      <c r="AK21" s="21">
        <f t="shared" si="1"/>
        <v>25.3</v>
      </c>
      <c r="AL21" s="22">
        <v>25.9</v>
      </c>
      <c r="AM21" s="23">
        <f t="shared" si="2"/>
        <v>-0.59999999999999787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80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79">
        <v>35</v>
      </c>
      <c r="P23" s="63">
        <v>31.1</v>
      </c>
      <c r="Q23" s="63">
        <v>31.2</v>
      </c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31.2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79">
        <v>33.299999999999997</v>
      </c>
      <c r="P24" s="63">
        <v>31.9</v>
      </c>
      <c r="Q24" s="63">
        <v>33.9</v>
      </c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33.9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79">
        <v>35</v>
      </c>
      <c r="P25" s="63">
        <v>34.799999999999997</v>
      </c>
      <c r="Q25" s="63">
        <v>35.799999999999997</v>
      </c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35.799999999999997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79">
        <v>19.600000000000001</v>
      </c>
      <c r="P26" s="63">
        <v>20</v>
      </c>
      <c r="Q26" s="63">
        <v>19.899999999999999</v>
      </c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19.899999999999999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79">
        <v>19.399999999999999</v>
      </c>
      <c r="P27" s="63">
        <v>21</v>
      </c>
      <c r="Q27" s="63">
        <v>21.6</v>
      </c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21.6</v>
      </c>
      <c r="AK27" s="21">
        <f t="shared" si="1"/>
        <v>21.6</v>
      </c>
      <c r="AL27" s="22">
        <v>22.4</v>
      </c>
      <c r="AM27" s="23">
        <f t="shared" si="2"/>
        <v>-0.79999999999999716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79">
        <v>35.4</v>
      </c>
      <c r="P28" s="63">
        <v>32.700000000000003</v>
      </c>
      <c r="Q28" s="63">
        <v>34.799999999999997</v>
      </c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34.799999999999997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80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79">
        <v>36</v>
      </c>
      <c r="P30" s="63">
        <v>34.200000000000003</v>
      </c>
      <c r="Q30" s="63">
        <v>36.700000000000003</v>
      </c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36.700000000000003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79">
        <v>26.5</v>
      </c>
      <c r="P31" s="63">
        <v>26.8</v>
      </c>
      <c r="Q31" s="63">
        <v>27.6</v>
      </c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27.6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79">
        <v>16.8</v>
      </c>
      <c r="P32" s="63">
        <v>15.6</v>
      </c>
      <c r="Q32" s="63">
        <v>16.600000000000001</v>
      </c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16.600000000000001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79">
        <v>13.6</v>
      </c>
      <c r="P33" s="63">
        <v>15.2</v>
      </c>
      <c r="Q33" s="63">
        <v>15</v>
      </c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15</v>
      </c>
      <c r="AK33" s="21">
        <f t="shared" si="1"/>
        <v>17</v>
      </c>
      <c r="AL33" s="22">
        <v>20.6</v>
      </c>
      <c r="AM33" s="23">
        <f t="shared" si="2"/>
        <v>-3.6000000000000014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79">
        <v>36</v>
      </c>
      <c r="P35" s="63">
        <v>31.8</v>
      </c>
      <c r="Q35" s="63">
        <v>34.700000000000003</v>
      </c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34.700000000000003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80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79">
        <v>32.4</v>
      </c>
      <c r="P38" s="63">
        <v>32.9</v>
      </c>
      <c r="Q38" s="63">
        <v>32.700000000000003</v>
      </c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32.700000000000003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79">
        <v>34.799999999999997</v>
      </c>
      <c r="P39" s="63">
        <v>32.6</v>
      </c>
      <c r="Q39" s="63">
        <v>28.4</v>
      </c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28.4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79">
        <v>31.2</v>
      </c>
      <c r="P40" s="63">
        <v>32.799999999999997</v>
      </c>
      <c r="Q40" s="63">
        <v>31.4</v>
      </c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31.4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79">
        <v>32</v>
      </c>
      <c r="P41" s="63">
        <v>33.6</v>
      </c>
      <c r="Q41" s="63">
        <v>32.6</v>
      </c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32.6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28.2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32.1</v>
      </c>
      <c r="AK44" s="21">
        <f t="shared" si="1"/>
        <v>32.4</v>
      </c>
      <c r="AL44" s="22">
        <v>34.4</v>
      </c>
      <c r="AM44" s="23">
        <f t="shared" si="2"/>
        <v>-2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32.4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33.299999999999997</v>
      </c>
      <c r="AK48" s="21">
        <f t="shared" si="1"/>
        <v>33.299999999999997</v>
      </c>
      <c r="AL48" s="22">
        <v>35.700000000000003</v>
      </c>
      <c r="AM48" s="23">
        <f t="shared" si="2"/>
        <v>-2.4000000000000057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2026-08-14T13:47:10Z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