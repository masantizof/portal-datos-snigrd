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931839B-49E0-47AD-9209-0B493A459000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<sst xmlns="http://schemas.openxmlformats.org/spreadsheetml/2006/main" count="604" uniqueCount="273">
  <si>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</si>
  <si>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</si>
  <si>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</si>
  <si>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</si>
  <si>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</si>
  <si>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</si>
  <si>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</si>
  <si>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</si>
  <si>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</si>
  <si>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</si>
  <si>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</si>
  <si>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</si>
  <si>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</si>
  <si>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</si>
  <si>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</si>
  <si>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</si>
  <si>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</si>
  <si>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</si>
  <si>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</si>
  <si>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</si>
  <si>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</si>
  <si>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</si>
  <si>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</si>
  <si>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</si>
  <si>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</si>
  <si>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</si>
  <si>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</si>
  <si>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</si>
  <si>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</si>
  <si>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</si>
  <si>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</si>
  <si>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</si>
  <si>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</si>
  <si>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</si>
  <si>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</si>
  <si>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</si>
  <si>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</si>
  <si>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</si>
  <si>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</si>
  <si>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</si>
  <si>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</si>
  <si>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</si>
  <si>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</si>
  <si>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</si>
  <si>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</si>
  <si>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</si>
  <si>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</si>
  <si>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</si>
  <si>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</si>
  <si>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</si>
  <si>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</si>
  <si>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</si>
  <si>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</si>
  <si>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</si>
  <si>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</si>
  <si>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</si>
  <si>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</si>
  <si>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</si>
  <si>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</si>
  <si>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</si>
  <si>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</si>
  <si>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</si>
  <si>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</si>
  <si>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</si>
  <si>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</si>
  <si>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</si>
  <si>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</si>
  <si>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</si>
  <si>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</si>
  <si>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</si>
  <si>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</si>
  <si>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</si>
  <si>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</si>
  <si>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</si>
  <si>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</si>
  <si>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</si>
  <si>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</si>
  <si>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</si>
  <si>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</si>
  <si>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</si>
  <si>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</si>
  <si>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</si>
  <si>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</si>
  <si>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</si>
  <si>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</si>
  <si>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</si>
  <si>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</si>
  <si>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</si>
  <si>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</si>
  <si>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</si>
  <si>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</si>
  <si>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</si>
  <si>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</si>
  <si>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</si>
  <si>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</si>
  <si>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</si>
  <si>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</si>
  <si>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</si>
  <si>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</si>
  <si>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</si>
  <si>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</si>
  <si>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</si>
  <si>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</si>
  <si>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</si>
  <si>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</si>
  <si>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</si>
  <si>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</si>
  <si>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</si>
  <si>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</si>
  <si>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</si>
  <si>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</si>
  <si>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</si>
  <si>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</si>
  <si>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</si>
  <si>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</si>
  <si>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</si>
  <si>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</si>
  <si>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</si>
  <si>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</si>
  <si>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</si>
  <si>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</si>
  <si>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</si>
  <si>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</si>
  <si>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</si>
  <si>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</si>
  <si>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</si>
  <si>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</si>
  <si>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</si>
  <si>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</si>
  <si>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</si>
  <si>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</si>
  <si>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</si>
  <si>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</si>
  <si>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</si>
  <si>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</si>
  <si>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</si>
  <si>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</si>
  <si>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</si>
  <si>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</si>
  <si>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</si>
  <si>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</si>
  <si>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</si>
  <si>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</si>
  <si>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</si>
  <si>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</si>
  <si>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</si>
  <si>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</si>
  <si>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</si>
  <si>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</si>
  <si>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</si>
  <si>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</si>
  <si>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</si>
  <si>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</si>
  <si>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</si>
  <si>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</si>
  <si>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</si>
  <si>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</si>
  <si>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</si>
  <si>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</si>
  <si>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</si>
  <si>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</si>
  <si>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</si>
  <si>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</si>
  <si>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</si>
  <si>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</si>
  <si>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</si>
  <si>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</si>
  <si>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</si>
  <si>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</si>
  <si>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</si>
  <si>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</si>
  <si>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</si>
  <si>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</si>
  <si>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</si>
  <si>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</si>
  <si>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</si>
  <si>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</si>
  <si>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</si>
  <si>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</si>
  <si>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</si>
  <si>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</si>
  <si>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</si>
  <si>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</si>
  <si>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</si>
  <si>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</si>
  <si>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</si>
  <si>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</si>
  <si>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</si>
  <si>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</si>
  <si>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</si>
  <si>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</si>
  <si>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</si>
  <si>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</si>
  <si>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</si>
  <si>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</si>
  <si>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</si>
  <si>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</si>
  <si>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</si>
  <si>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</si>
  <si>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</si>
  <si>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</si>
  <si>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</si>
  <si>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</si>
  <si>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</si>
  <si>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</si>
  <si>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</si>
  <si>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</si>
  <si>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</si>
  <si>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</si>
  <si>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</si>
  <si>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</si>
  <si>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</si>
  <si>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</si>
  <si>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</si>
  <si>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</si>
  <si>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</si>
  <si>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</si>
  <si>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</si>
  <si>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</si>
  <si>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</si>
  <si>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</si>
  <si>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</si>
  <si>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</si>
  <si>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</si>
  <si>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</si>
  <si>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</si>
  <si>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</si>
  <si>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</si>
  <si>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</si>
  <si>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</si>
  <si>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</si>
  <si>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</si>
  <si>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</si>
  <si>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</si>
  <si>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</si>
  <si>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</si>
  <si>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</si>
  <si>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</si>
  <si>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</si>
  <si>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</si>
  <si>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</si>
  <si>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</si>
  <si>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</si>
  <si>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</si>
  <si>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</si>
  <si>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</si>
  <si>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</si>
  <si>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</si>
  <si>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</si>
  <si>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</si>
  <si>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</si>
  <si>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</si>
  <si>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</si>
  <si>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</si>
  <si>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</si>
  <si>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</si>
  <si>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</si>
  <si>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</si>
  <si>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</si>
  <si>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</si>
  <si>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</si>
  <si>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</si>
  <si>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</si>
  <si>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</si>
  <si>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</si>
  <si>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</si>
  <si>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</si>
  <si>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</si>
  <si>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</si>
  <si>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</si>
  <si>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</si>
  <si>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</si>
  <si>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JUNIO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</si>
</sst>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1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65" fontId="31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0000FF"/>
      <color rgb="FF00C5FF"/>
      <color rgb="FF0070FF"/>
      <color rgb="FFBEE8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26" sqref="I2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32.9</v>
      </c>
      <c r="F5" s="57">
        <v>32.4</v>
      </c>
      <c r="G5" s="57">
        <v>32</v>
      </c>
      <c r="H5" s="57">
        <v>32.6</v>
      </c>
      <c r="I5" s="57">
        <v>32.4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32.4</v>
      </c>
      <c r="AK5" s="21">
        <f>+MAX($E5:$AI5)</f>
        <v>32.9</v>
      </c>
      <c r="AL5" s="22">
        <v>32.5</v>
      </c>
      <c r="AM5" s="23">
        <f>IF(AK5&gt;0,$AK5-$AL5,"")</f>
        <v>0.39999999999999858</v>
      </c>
      <c r="AN5" s="23">
        <v>30.35098157270572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32.200000000000003</v>
      </c>
      <c r="F6" s="57">
        <v>31.5</v>
      </c>
      <c r="G6" s="57">
        <v>31.4</v>
      </c>
      <c r="H6" s="57">
        <v>31.2</v>
      </c>
      <c r="I6" s="57">
        <v>30.6</v>
      </c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30.6</v>
      </c>
      <c r="AK6" s="21">
        <f t="shared" ref="AK6:AK48" si="1">+MAX($E6:$AI6)</f>
        <v>32.200000000000003</v>
      </c>
      <c r="AL6" s="22">
        <v>33.5</v>
      </c>
      <c r="AM6" s="23">
        <f t="shared" ref="AM6:AM48" si="2">IF(AK6&gt;0,$AK6-$AL6,"")</f>
        <v>-1.2999999999999972</v>
      </c>
      <c r="AN6" s="23">
        <v>30.64257745612791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37.200000000000003</v>
      </c>
      <c r="F7" s="57">
        <v>36</v>
      </c>
      <c r="G7" s="57">
        <v>34.4</v>
      </c>
      <c r="H7" s="57">
        <v>30.8</v>
      </c>
      <c r="I7" s="57">
        <v>34.799999999999997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34.799999999999997</v>
      </c>
      <c r="AK7" s="21">
        <f t="shared" si="1"/>
        <v>37.200000000000003</v>
      </c>
      <c r="AL7" s="22">
        <v>38.6</v>
      </c>
      <c r="AM7" s="23">
        <f t="shared" si="2"/>
        <v>-1.3999999999999986</v>
      </c>
      <c r="AN7" s="23">
        <v>33.327391688770987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35.1</v>
      </c>
      <c r="F8" s="57">
        <v>34.1</v>
      </c>
      <c r="G8" s="57">
        <v>33.200000000000003</v>
      </c>
      <c r="H8" s="57">
        <v>31.9</v>
      </c>
      <c r="I8" s="57">
        <v>32.5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32.5</v>
      </c>
      <c r="AK8" s="21">
        <f t="shared" si="1"/>
        <v>35.1</v>
      </c>
      <c r="AL8" s="22">
        <v>40.4</v>
      </c>
      <c r="AM8" s="23">
        <f t="shared" si="2"/>
        <v>-5.2999999999999972</v>
      </c>
      <c r="AN8" s="23">
        <v>32.327364410387403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37</v>
      </c>
      <c r="F9" s="57">
        <v>35.1</v>
      </c>
      <c r="G9" s="57">
        <v>33.4</v>
      </c>
      <c r="H9" s="57">
        <v>33.5</v>
      </c>
      <c r="I9" s="57">
        <v>35.4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35.4</v>
      </c>
      <c r="AK9" s="21">
        <f t="shared" si="1"/>
        <v>37</v>
      </c>
      <c r="AL9" s="22">
        <v>38.6</v>
      </c>
      <c r="AM9" s="23">
        <f t="shared" si="2"/>
        <v>-1.6000000000000014</v>
      </c>
      <c r="AN9" s="23">
        <v>33.336943724366797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37.299999999999997</v>
      </c>
      <c r="F10" s="57">
        <v>37.6</v>
      </c>
      <c r="G10" s="57">
        <v>35.299999999999997</v>
      </c>
      <c r="H10" s="57">
        <v>32.700000000000003</v>
      </c>
      <c r="I10" s="57">
        <v>32.700000000000003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32.700000000000003</v>
      </c>
      <c r="AK10" s="21">
        <f t="shared" si="1"/>
        <v>37.6</v>
      </c>
      <c r="AL10" s="22">
        <v>39.4</v>
      </c>
      <c r="AM10" s="23">
        <f t="shared" si="2"/>
        <v>-1.7999999999999972</v>
      </c>
      <c r="AN10" s="23">
        <v>34.811145461751877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40.6</v>
      </c>
      <c r="F11" s="57">
        <v>40.5</v>
      </c>
      <c r="G11" s="57">
        <v>37</v>
      </c>
      <c r="H11" s="57">
        <v>30.1</v>
      </c>
      <c r="I11" s="57">
        <v>33.6</v>
      </c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33.6</v>
      </c>
      <c r="AK11" s="21">
        <f t="shared" si="1"/>
        <v>40.6</v>
      </c>
      <c r="AL11" s="22">
        <v>41</v>
      </c>
      <c r="AM11" s="23">
        <f t="shared" si="2"/>
        <v>-0.39999999999999858</v>
      </c>
      <c r="AN11" s="23">
        <v>34.423205128205112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35.200000000000003</v>
      </c>
      <c r="F12" s="57">
        <v>35.4</v>
      </c>
      <c r="G12" s="57">
        <v>31.8</v>
      </c>
      <c r="H12" s="57">
        <v>31.6</v>
      </c>
      <c r="I12" s="57">
        <v>27.4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27.4</v>
      </c>
      <c r="AK12" s="21">
        <f t="shared" si="1"/>
        <v>35.4</v>
      </c>
      <c r="AL12" s="22">
        <v>37.799999999999997</v>
      </c>
      <c r="AM12" s="23">
        <f t="shared" si="2"/>
        <v>-2.3999999999999986</v>
      </c>
      <c r="AN12" s="23">
        <v>31.98305557490615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37</v>
      </c>
      <c r="F13" s="57">
        <v>37.200000000000003</v>
      </c>
      <c r="G13" s="57">
        <v>33.200000000000003</v>
      </c>
      <c r="H13" s="57">
        <v>34.799999999999997</v>
      </c>
      <c r="I13" s="57">
        <v>28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28</v>
      </c>
      <c r="AK13" s="21">
        <f t="shared" si="1"/>
        <v>37.200000000000003</v>
      </c>
      <c r="AL13" s="22">
        <v>36.799999999999997</v>
      </c>
      <c r="AM13" s="23">
        <f t="shared" si="2"/>
        <v>0.40000000000000568</v>
      </c>
      <c r="AN13" s="23">
        <v>32.816402116402109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35.1</v>
      </c>
      <c r="F14" s="57">
        <v>35.4</v>
      </c>
      <c r="G14" s="57">
        <v>30.1</v>
      </c>
      <c r="H14" s="57">
        <v>32.6</v>
      </c>
      <c r="I14" s="57">
        <v>29.7</v>
      </c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29.7</v>
      </c>
      <c r="AK14" s="21">
        <f t="shared" si="1"/>
        <v>35.4</v>
      </c>
      <c r="AL14" s="22">
        <v>38.799999999999997</v>
      </c>
      <c r="AM14" s="23">
        <f t="shared" si="2"/>
        <v>-3.3999999999999986</v>
      </c>
      <c r="AN14" s="23">
        <v>33.017506633791363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32.1</v>
      </c>
      <c r="F15" s="57">
        <v>32.6</v>
      </c>
      <c r="G15" s="57">
        <v>26.8</v>
      </c>
      <c r="H15" s="57">
        <v>31.5</v>
      </c>
      <c r="I15" s="57">
        <v>29.7</v>
      </c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29.7</v>
      </c>
      <c r="AK15" s="21">
        <f t="shared" si="1"/>
        <v>32.6</v>
      </c>
      <c r="AL15" s="22">
        <v>35.200000000000003</v>
      </c>
      <c r="AM15" s="23">
        <f t="shared" si="2"/>
        <v>-2.6000000000000014</v>
      </c>
      <c r="AN15" s="23">
        <v>31.768074712643681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35.200000000000003</v>
      </c>
      <c r="F17" s="57">
        <v>37.1</v>
      </c>
      <c r="G17" s="57">
        <v>31.2</v>
      </c>
      <c r="H17" s="57">
        <v>31.2</v>
      </c>
      <c r="I17" s="57">
        <v>31.5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31.5</v>
      </c>
      <c r="AK17" s="21">
        <f t="shared" si="1"/>
        <v>37.1</v>
      </c>
      <c r="AL17" s="22">
        <v>37</v>
      </c>
      <c r="AM17" s="23">
        <f t="shared" si="2"/>
        <v>0.10000000000000142</v>
      </c>
      <c r="AN17" s="23">
        <v>32.271835116924287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28.4</v>
      </c>
      <c r="F18" s="57">
        <v>29.6</v>
      </c>
      <c r="G18" s="57">
        <v>26.9</v>
      </c>
      <c r="H18" s="57">
        <v>24</v>
      </c>
      <c r="I18" s="57">
        <v>26.5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26.5</v>
      </c>
      <c r="AK18" s="21">
        <f t="shared" si="1"/>
        <v>29.6</v>
      </c>
      <c r="AL18" s="22">
        <v>29.4</v>
      </c>
      <c r="AM18" s="23">
        <f t="shared" si="2"/>
        <v>0.20000000000000284</v>
      </c>
      <c r="AN18" s="23">
        <v>25.82496913580248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34.1</v>
      </c>
      <c r="F19" s="57">
        <v>34.1</v>
      </c>
      <c r="G19" s="57">
        <v>33.200000000000003</v>
      </c>
      <c r="H19" s="57">
        <v>35.200000000000003</v>
      </c>
      <c r="I19" s="57">
        <v>32.6</v>
      </c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32.6</v>
      </c>
      <c r="AK19" s="21">
        <f t="shared" si="1"/>
        <v>35.200000000000003</v>
      </c>
      <c r="AL19" s="22">
        <v>37.200000000000003</v>
      </c>
      <c r="AM19" s="23">
        <f t="shared" si="2"/>
        <v>-2</v>
      </c>
      <c r="AN19" s="23">
        <v>33.093462068965522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31.7</v>
      </c>
      <c r="F20" s="57">
        <v>31.3</v>
      </c>
      <c r="G20" s="57">
        <v>27.2</v>
      </c>
      <c r="H20" s="57">
        <v>26.3</v>
      </c>
      <c r="I20" s="57">
        <v>26.6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26.6</v>
      </c>
      <c r="AK20" s="21">
        <f t="shared" si="1"/>
        <v>31.7</v>
      </c>
      <c r="AL20" s="22">
        <v>33.1</v>
      </c>
      <c r="AM20" s="23">
        <f t="shared" si="2"/>
        <v>-1.4000000000000021</v>
      </c>
      <c r="AN20" s="23">
        <v>28.352130620513499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25.1</v>
      </c>
      <c r="G21" s="57">
        <v>23.2</v>
      </c>
      <c r="H21" s="57">
        <v>23.4</v>
      </c>
      <c r="I21" s="57">
        <v>22.7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22.7</v>
      </c>
      <c r="AK21" s="21">
        <f t="shared" si="1"/>
        <v>25.4</v>
      </c>
      <c r="AL21" s="22">
        <v>26.8</v>
      </c>
      <c r="AM21" s="23">
        <f t="shared" si="2"/>
        <v>-1.4000000000000021</v>
      </c>
      <c r="AN21" s="23">
        <v>22.640735632183901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25.8</v>
      </c>
      <c r="AM22" s="23" t="str">
        <f t="shared" si="2"/>
        <v/>
      </c>
      <c r="AN22" s="23">
        <v>21.05895114942529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28</v>
      </c>
      <c r="F23" s="57">
        <v>29.4</v>
      </c>
      <c r="G23" s="57">
        <v>27.6</v>
      </c>
      <c r="H23" s="57">
        <v>27</v>
      </c>
      <c r="I23" s="57">
        <v>26</v>
      </c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26</v>
      </c>
      <c r="AK23" s="21">
        <f t="shared" si="1"/>
        <v>29.4</v>
      </c>
      <c r="AL23" s="22">
        <v>32.799999999999997</v>
      </c>
      <c r="AM23" s="23">
        <f t="shared" si="2"/>
        <v>-3.3999999999999986</v>
      </c>
      <c r="AN23" s="23">
        <v>26.313589743589748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29.4</v>
      </c>
      <c r="F24" s="57">
        <v>30</v>
      </c>
      <c r="G24" s="57">
        <v>25.6</v>
      </c>
      <c r="H24" s="57">
        <v>27.5</v>
      </c>
      <c r="I24" s="57">
        <v>26.9</v>
      </c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26.9</v>
      </c>
      <c r="AK24" s="21">
        <f t="shared" si="1"/>
        <v>30</v>
      </c>
      <c r="AL24" s="22">
        <v>34.200000000000003</v>
      </c>
      <c r="AM24" s="23">
        <f t="shared" si="2"/>
        <v>-4.2000000000000028</v>
      </c>
      <c r="AN24" s="23">
        <v>27.744458977407849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5">
        <v>33.4</v>
      </c>
      <c r="F25" s="66">
        <v>33.700000000000003</v>
      </c>
      <c r="G25" s="57">
        <v>31.2</v>
      </c>
      <c r="H25" s="57">
        <v>32</v>
      </c>
      <c r="I25" s="57">
        <v>25.8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25.8</v>
      </c>
      <c r="AK25" s="21">
        <f t="shared" si="1"/>
        <v>33.700000000000003</v>
      </c>
      <c r="AL25" s="22">
        <v>33.6</v>
      </c>
      <c r="AM25" s="23">
        <f t="shared" si="2"/>
        <v>0.10000000000000142</v>
      </c>
      <c r="AN25" s="23">
        <v>29.24511031840402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20</v>
      </c>
      <c r="G26" s="57">
        <v>21.1</v>
      </c>
      <c r="H26" s="57">
        <v>21.2</v>
      </c>
      <c r="I26" s="57">
        <v>19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19</v>
      </c>
      <c r="AK26" s="21">
        <f t="shared" si="1"/>
        <v>21.2</v>
      </c>
      <c r="AL26" s="22">
        <v>23.1</v>
      </c>
      <c r="AM26" s="23">
        <f t="shared" si="2"/>
        <v>-1.9000000000000021</v>
      </c>
      <c r="AN26" s="23">
        <v>18.936614070986479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17.5</v>
      </c>
      <c r="F27" s="57">
        <v>17</v>
      </c>
      <c r="G27" s="57">
        <v>18.2</v>
      </c>
      <c r="H27" s="57">
        <v>19</v>
      </c>
      <c r="I27" s="57">
        <v>16</v>
      </c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16</v>
      </c>
      <c r="AK27" s="21">
        <f t="shared" si="1"/>
        <v>19</v>
      </c>
      <c r="AL27" s="22">
        <v>21.6</v>
      </c>
      <c r="AM27" s="23">
        <f t="shared" si="2"/>
        <v>-2.6000000000000014</v>
      </c>
      <c r="AN27" s="23">
        <v>17.123800011324391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32.200000000000003</v>
      </c>
      <c r="F28" s="57">
        <v>31.2</v>
      </c>
      <c r="G28" s="57">
        <v>26.9</v>
      </c>
      <c r="H28" s="57">
        <v>30.1</v>
      </c>
      <c r="I28" s="57">
        <v>28</v>
      </c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28</v>
      </c>
      <c r="AK28" s="21">
        <f t="shared" si="1"/>
        <v>32.200000000000003</v>
      </c>
      <c r="AL28" s="22">
        <v>33.200000000000003</v>
      </c>
      <c r="AM28" s="23">
        <f t="shared" si="2"/>
        <v>-1</v>
      </c>
      <c r="AN28" s="23">
        <v>29.810408684546619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25.452657634721689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36.200000000000003</v>
      </c>
      <c r="F30" s="57">
        <v>35.4</v>
      </c>
      <c r="G30" s="57">
        <v>32.799999999999997</v>
      </c>
      <c r="H30" s="57">
        <v>34</v>
      </c>
      <c r="I30" s="57">
        <v>32.299999999999997</v>
      </c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32.299999999999997</v>
      </c>
      <c r="AK30" s="21">
        <f t="shared" si="1"/>
        <v>36.200000000000003</v>
      </c>
      <c r="AL30" s="22">
        <v>37.9</v>
      </c>
      <c r="AM30" s="23">
        <f t="shared" si="2"/>
        <v>-1.6999999999999957</v>
      </c>
      <c r="AN30" s="23">
        <v>33.169954022988513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29.2</v>
      </c>
      <c r="F31" s="57">
        <v>29</v>
      </c>
      <c r="G31" s="57">
        <v>25.3</v>
      </c>
      <c r="H31" s="57">
        <v>24.6</v>
      </c>
      <c r="I31" s="57">
        <v>25</v>
      </c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25</v>
      </c>
      <c r="AK31" s="21">
        <f t="shared" si="1"/>
        <v>29.2</v>
      </c>
      <c r="AL31" s="22">
        <v>29.4</v>
      </c>
      <c r="AM31" s="23">
        <f t="shared" si="2"/>
        <v>-0.19999999999999929</v>
      </c>
      <c r="AN31" s="23">
        <v>24.633352490421451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20.2</v>
      </c>
      <c r="F32" s="57">
        <v>20.399999999999999</v>
      </c>
      <c r="G32" s="57">
        <v>19</v>
      </c>
      <c r="H32" s="57">
        <v>19.2</v>
      </c>
      <c r="I32" s="57">
        <v>18.399999999999999</v>
      </c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18.399999999999999</v>
      </c>
      <c r="AK32" s="21">
        <f t="shared" si="1"/>
        <v>20.399999999999999</v>
      </c>
      <c r="AL32" s="22">
        <v>22.2</v>
      </c>
      <c r="AM32" s="23">
        <f t="shared" si="2"/>
        <v>-1.8000000000000007</v>
      </c>
      <c r="AN32" s="27">
        <v>16.87570238877931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17.2</v>
      </c>
      <c r="F33" s="57">
        <v>17.399999999999999</v>
      </c>
      <c r="G33" s="57">
        <v>16.600000000000001</v>
      </c>
      <c r="H33" s="57">
        <v>17</v>
      </c>
      <c r="I33" s="57">
        <v>15.6</v>
      </c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15.6</v>
      </c>
      <c r="AK33" s="21">
        <f t="shared" si="1"/>
        <v>17.399999999999999</v>
      </c>
      <c r="AL33" s="22">
        <v>19.399999999999999</v>
      </c>
      <c r="AM33" s="23">
        <f t="shared" si="2"/>
        <v>-2</v>
      </c>
      <c r="AN33" s="23">
        <v>15.328739595719391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30.8</v>
      </c>
      <c r="F35" s="57">
        <v>32.4</v>
      </c>
      <c r="G35" s="57">
        <v>28.2</v>
      </c>
      <c r="H35" s="57">
        <v>31.4</v>
      </c>
      <c r="I35" s="57">
        <v>31.4</v>
      </c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31.4</v>
      </c>
      <c r="AK35" s="21">
        <f t="shared" si="1"/>
        <v>32.4</v>
      </c>
      <c r="AL35" s="22">
        <v>35.4</v>
      </c>
      <c r="AM35" s="23">
        <f t="shared" si="2"/>
        <v>-3</v>
      </c>
      <c r="AN35" s="23">
        <v>31.00361474435196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34.4</v>
      </c>
      <c r="AM36" s="23" t="str">
        <f t="shared" si="2"/>
        <v/>
      </c>
      <c r="AN36" s="23">
        <v>30.271666666666668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31.2</v>
      </c>
      <c r="F38" s="57">
        <v>27.9</v>
      </c>
      <c r="G38" s="57">
        <v>30.1</v>
      </c>
      <c r="H38" s="57">
        <v>30.3</v>
      </c>
      <c r="I38" s="57">
        <v>29.9</v>
      </c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29.9</v>
      </c>
      <c r="AK38" s="21">
        <f t="shared" si="1"/>
        <v>31.2</v>
      </c>
      <c r="AL38" s="22">
        <v>35.4</v>
      </c>
      <c r="AM38" s="23">
        <f t="shared" si="2"/>
        <v>-4.1999999999999993</v>
      </c>
      <c r="AN38" s="23">
        <v>30.144029439361951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31.2</v>
      </c>
      <c r="F39" s="57">
        <v>32.200000000000003</v>
      </c>
      <c r="G39" s="57">
        <v>32</v>
      </c>
      <c r="H39" s="57">
        <v>26.4</v>
      </c>
      <c r="I39" s="57">
        <v>30.4</v>
      </c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30.4</v>
      </c>
      <c r="AK39" s="21">
        <f t="shared" si="1"/>
        <v>32.200000000000003</v>
      </c>
      <c r="AL39" s="22">
        <v>39.6</v>
      </c>
      <c r="AM39" s="23">
        <f t="shared" si="2"/>
        <v>-7.3999999999999986</v>
      </c>
      <c r="AN39" s="23">
        <v>31.297969348658992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30.1</v>
      </c>
      <c r="F40" s="57">
        <v>30.2</v>
      </c>
      <c r="G40" s="57">
        <v>29.1</v>
      </c>
      <c r="H40" s="57">
        <v>29.6</v>
      </c>
      <c r="I40" s="57">
        <v>26.7</v>
      </c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26.7</v>
      </c>
      <c r="AK40" s="21">
        <f t="shared" si="1"/>
        <v>30.2</v>
      </c>
      <c r="AL40" s="22">
        <v>33.200000000000003</v>
      </c>
      <c r="AM40" s="23">
        <f t="shared" si="2"/>
        <v>-3.0000000000000036</v>
      </c>
      <c r="AN40" s="23">
        <v>29.06377777777778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31.2</v>
      </c>
      <c r="F41" s="57">
        <v>30.8</v>
      </c>
      <c r="G41" s="57">
        <v>30.4</v>
      </c>
      <c r="H41" s="57">
        <v>29.8</v>
      </c>
      <c r="I41" s="57">
        <v>28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28</v>
      </c>
      <c r="AK41" s="21">
        <f t="shared" si="1"/>
        <v>31.2</v>
      </c>
      <c r="AL41" s="22">
        <v>34.200000000000003</v>
      </c>
      <c r="AM41" s="23">
        <f t="shared" si="2"/>
        <v>-3.0000000000000036</v>
      </c>
      <c r="AN41" s="23">
        <v>29.39521839080459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29.86086512299406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67"/>
      <c r="F43" s="57">
        <v>32.4</v>
      </c>
      <c r="G43" s="57">
        <v>28.8</v>
      </c>
      <c r="H43" s="57">
        <v>25.8</v>
      </c>
      <c r="I43" s="57">
        <v>29</v>
      </c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29</v>
      </c>
      <c r="AK43" s="21">
        <f t="shared" si="1"/>
        <v>32.4</v>
      </c>
      <c r="AL43" s="22">
        <v>35</v>
      </c>
      <c r="AM43" s="23">
        <f t="shared" si="2"/>
        <v>-2.6000000000000014</v>
      </c>
      <c r="AN43" s="23">
        <v>30.231759411299642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31.2</v>
      </c>
      <c r="F44" s="29">
        <v>30.4</v>
      </c>
      <c r="G44" s="29">
        <v>29.1</v>
      </c>
      <c r="H44" s="29">
        <v>30.4</v>
      </c>
      <c r="I44" s="29">
        <v>29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29</v>
      </c>
      <c r="AK44" s="21">
        <f t="shared" si="1"/>
        <v>31.2</v>
      </c>
      <c r="AL44" s="22">
        <v>36.799999999999997</v>
      </c>
      <c r="AM44" s="23">
        <f t="shared" si="2"/>
        <v>-5.5999999999999979</v>
      </c>
      <c r="AN44" s="23">
        <v>29.08935960591133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26.2</v>
      </c>
      <c r="F45" s="57">
        <v>32</v>
      </c>
      <c r="G45" s="57">
        <v>32.4</v>
      </c>
      <c r="H45" s="57">
        <v>30.6</v>
      </c>
      <c r="I45" s="57">
        <v>25.8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25.8</v>
      </c>
      <c r="AK45" s="21">
        <f t="shared" si="1"/>
        <v>32.4</v>
      </c>
      <c r="AL45" s="22">
        <v>33.4</v>
      </c>
      <c r="AM45" s="23">
        <f t="shared" si="2"/>
        <v>-1</v>
      </c>
      <c r="AN45" s="23">
        <v>29.634685374149662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>
        <v>24.4</v>
      </c>
      <c r="I46" s="57">
        <v>23.6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>
        <f t="shared" si="0"/>
        <v>23.6</v>
      </c>
      <c r="AK46" s="21">
        <f t="shared" si="1"/>
        <v>24.4</v>
      </c>
      <c r="AL46" s="22">
        <v>31</v>
      </c>
      <c r="AM46" s="23">
        <f t="shared" si="2"/>
        <v>-6.6000000000000014</v>
      </c>
      <c r="AN46" s="23">
        <v>26.492377120963329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29.114432687854439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29.8</v>
      </c>
      <c r="F48" s="57">
        <v>28.2</v>
      </c>
      <c r="G48" s="57">
        <v>32.6</v>
      </c>
      <c r="H48" s="57">
        <v>32.299999999999997</v>
      </c>
      <c r="I48" s="57">
        <v>30.3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30.3</v>
      </c>
      <c r="AK48" s="21">
        <f t="shared" si="1"/>
        <v>32.6</v>
      </c>
      <c r="AL48" s="22">
        <v>34.1</v>
      </c>
      <c r="AM48" s="23">
        <f t="shared" si="2"/>
        <v>-1.5</v>
      </c>
      <c r="AN48" s="23">
        <v>29.887900088417329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2" workbookViewId="0">
      <selection activeCell="N2" sqref="N2:N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8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8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8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8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8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8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8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8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8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8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8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8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8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8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8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8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8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8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8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8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8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8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8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8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8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8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8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8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8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8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8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8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8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8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8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8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8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8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8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8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8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8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8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8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workbookViewId="0">
      <selection activeCell="W3" sqref="W3:W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3" t="s">
        <v>123</v>
      </c>
      <c r="I1" s="74"/>
      <c r="J1" s="75"/>
      <c r="K1" s="70" t="s">
        <v>124</v>
      </c>
      <c r="L1" s="71"/>
      <c r="M1" s="72"/>
      <c r="N1" s="73" t="s">
        <v>125</v>
      </c>
      <c r="O1" s="74"/>
      <c r="P1" s="75"/>
      <c r="Q1" s="70" t="s">
        <v>126</v>
      </c>
      <c r="R1" s="71"/>
      <c r="S1" s="72"/>
      <c r="T1" s="73" t="s">
        <v>127</v>
      </c>
      <c r="U1" s="74"/>
      <c r="V1" s="75"/>
      <c r="W1" s="70" t="s">
        <v>128</v>
      </c>
      <c r="X1" s="71"/>
      <c r="Y1" s="72"/>
      <c r="Z1" s="73" t="s">
        <v>129</v>
      </c>
      <c r="AA1" s="74"/>
      <c r="AB1" s="75"/>
      <c r="AC1" s="70" t="s">
        <v>130</v>
      </c>
      <c r="AD1" s="71"/>
      <c r="AE1" s="72"/>
      <c r="AF1" s="73" t="s">
        <v>131</v>
      </c>
      <c r="AG1" s="74"/>
      <c r="AH1" s="75"/>
      <c r="AI1" s="70" t="s">
        <v>132</v>
      </c>
      <c r="AJ1" s="71"/>
      <c r="AK1" s="72"/>
      <c r="AL1" s="73" t="s">
        <v>133</v>
      </c>
      <c r="AM1" s="74"/>
      <c r="AN1" s="75"/>
      <c r="AO1" s="70" t="s">
        <v>134</v>
      </c>
      <c r="AP1" s="71"/>
      <c r="AQ1" s="72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8" t="s">
        <v>1</v>
      </c>
      <c r="B1" s="80" t="s">
        <v>93</v>
      </c>
      <c r="C1" s="69" t="s">
        <v>94</v>
      </c>
      <c r="D1" s="76" t="s">
        <v>95</v>
      </c>
      <c r="E1" s="76" t="s">
        <v>96</v>
      </c>
      <c r="F1" s="76" t="s">
        <v>97</v>
      </c>
      <c r="G1" s="76" t="s">
        <v>98</v>
      </c>
      <c r="H1" s="76" t="s">
        <v>99</v>
      </c>
      <c r="I1" s="76" t="s">
        <v>100</v>
      </c>
      <c r="J1" s="76" t="s">
        <v>101</v>
      </c>
      <c r="K1" s="76" t="s">
        <v>102</v>
      </c>
      <c r="L1" s="76" t="s">
        <v>103</v>
      </c>
      <c r="M1" s="76" t="s">
        <v>104</v>
      </c>
      <c r="N1" s="76" t="s">
        <v>105</v>
      </c>
      <c r="O1" s="76" t="s">
        <v>106</v>
      </c>
    </row>
    <row r="2" spans="1:15" ht="12.75" customHeight="1" x14ac:dyDescent="0.2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2026-06-06T13:54:42Z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