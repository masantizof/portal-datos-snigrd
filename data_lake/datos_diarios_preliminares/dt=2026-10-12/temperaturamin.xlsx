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B5A26D2-2999-4129-A033-FD0C411181B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Temperatura!$U$1:$U$208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Q196" i="1"/>
  <c r="AS196" i="1" s="1"/>
  <c r="AP196" i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S183" i="1" s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Q164" i="1"/>
  <c r="AP164" i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S159" i="1" s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Q156" i="1"/>
  <c r="AP156" i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S151" i="1" s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Q148" i="1"/>
  <c r="AP148" i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S141" i="1" s="1"/>
  <c r="AP141" i="1"/>
  <c r="AQ141" i="1" s="1"/>
  <c r="AV140" i="1" a="1"/>
  <c r="AV140" i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/>
  <c r="AU138" i="1" a="1"/>
  <c r="AU138" i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Q136" i="1"/>
  <c r="AP136" i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/>
  <c r="AU121" i="1" a="1"/>
  <c r="AU121" i="1" s="1"/>
  <c r="AT121" i="1"/>
  <c r="AR121" i="1"/>
  <c r="AS121" i="1" s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Q114" i="1"/>
  <c r="AP114" i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/>
  <c r="AT111" i="1"/>
  <c r="AR111" i="1"/>
  <c r="AS111" i="1" s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Q106" i="1"/>
  <c r="AP106" i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S103" i="1" s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S101" i="1" s="1"/>
  <c r="AP101" i="1"/>
  <c r="AQ101" i="1" s="1"/>
  <c r="AV100" i="1" a="1"/>
  <c r="AV100" i="1" s="1"/>
  <c r="AU100" i="1" a="1"/>
  <c r="AU100" i="1"/>
  <c r="AT100" i="1"/>
  <c r="AW100" i="1" s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/>
  <c r="AT91" i="1"/>
  <c r="AR91" i="1"/>
  <c r="AP91" i="1"/>
  <c r="AQ91" i="1" s="1"/>
  <c r="AS91" i="1" s="1"/>
  <c r="AV90" i="1" a="1"/>
  <c r="AV90" i="1" s="1"/>
  <c r="AU90" i="1" a="1"/>
  <c r="AU90" i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S79" i="1" s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W68" i="1" s="1"/>
  <c r="AT68" i="1"/>
  <c r="AR68" i="1"/>
  <c r="AQ68" i="1"/>
  <c r="AP68" i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W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/>
  <c r="AW63" i="1" s="1"/>
  <c r="AT63" i="1"/>
  <c r="AR63" i="1"/>
  <c r="AP63" i="1"/>
  <c r="AQ63" i="1" s="1"/>
  <c r="AW62" i="1"/>
  <c r="AV62" i="1" a="1"/>
  <c r="AV62" i="1" s="1"/>
  <c r="AU62" i="1" a="1"/>
  <c r="AU62" i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R59" i="1"/>
  <c r="AP59" i="1"/>
  <c r="AQ59" i="1" s="1"/>
  <c r="AS59" i="1" s="1"/>
  <c r="AV58" i="1" a="1"/>
  <c r="AV58" i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/>
  <c r="AU55" i="1" a="1"/>
  <c r="AU55" i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/>
  <c r="AU49" i="1" a="1"/>
  <c r="AU49" i="1" s="1"/>
  <c r="AT49" i="1"/>
  <c r="AR49" i="1"/>
  <c r="AP49" i="1"/>
  <c r="AQ49" i="1" s="1"/>
  <c r="AV48" i="1" a="1"/>
  <c r="AV48" i="1"/>
  <c r="AU48" i="1" a="1"/>
  <c r="AU48" i="1" s="1"/>
  <c r="AT48" i="1"/>
  <c r="AR48" i="1"/>
  <c r="AP48" i="1"/>
  <c r="AQ48" i="1" s="1"/>
  <c r="AV47" i="1" a="1"/>
  <c r="AV47" i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/>
  <c r="AT46" i="1"/>
  <c r="AW46" i="1" s="1"/>
  <c r="AR46" i="1"/>
  <c r="AP46" i="1"/>
  <c r="AQ46" i="1" s="1"/>
  <c r="AS46" i="1" s="1"/>
  <c r="AV45" i="1" a="1"/>
  <c r="AV45" i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S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Q27" i="1"/>
  <c r="AP27" i="1"/>
  <c r="AV26" i="1" a="1"/>
  <c r="AV26" i="1" s="1"/>
  <c r="AU26" i="1" a="1"/>
  <c r="AU26" i="1" s="1"/>
  <c r="AT26" i="1"/>
  <c r="AW26" i="1" s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S25" i="1" s="1"/>
  <c r="AV24" i="1" a="1"/>
  <c r="AV24" i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 s="1"/>
  <c r="AT14" i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/>
  <c r="AU10" i="1" a="1"/>
  <c r="AU10" i="1" s="1"/>
  <c r="AT10" i="1"/>
  <c r="AW10" i="1" s="1"/>
  <c r="AR10" i="1"/>
  <c r="AP10" i="1"/>
  <c r="AQ10" i="1" s="1"/>
  <c r="AS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4" i="1" l="1"/>
  <c r="AW21" i="1"/>
  <c r="AW52" i="1"/>
  <c r="AS69" i="1"/>
  <c r="AW8" i="1"/>
  <c r="AS32" i="1"/>
  <c r="AS53" i="1"/>
  <c r="AS56" i="1"/>
  <c r="AW76" i="1"/>
  <c r="AS80" i="1"/>
  <c r="AS102" i="1"/>
  <c r="AS113" i="1"/>
  <c r="AS189" i="1"/>
  <c r="AW196" i="1"/>
  <c r="AS148" i="1"/>
  <c r="AS193" i="1"/>
  <c r="AW43" i="1"/>
  <c r="AW80" i="1"/>
  <c r="AS9" i="1"/>
  <c r="AS40" i="1"/>
  <c r="AS63" i="1"/>
  <c r="AS70" i="1"/>
  <c r="AS131" i="1"/>
  <c r="AS135" i="1"/>
  <c r="AW148" i="1"/>
  <c r="AS26" i="1"/>
  <c r="AS99" i="1"/>
  <c r="AS145" i="1"/>
  <c r="AS186" i="1"/>
  <c r="AS92" i="1"/>
  <c r="AS156" i="1"/>
  <c r="AW182" i="1"/>
  <c r="AS160" i="1"/>
  <c r="AS179" i="1"/>
  <c r="AW186" i="1"/>
  <c r="AS57" i="1"/>
  <c r="AS81" i="1"/>
  <c r="AW33" i="1"/>
  <c r="AS41" i="1"/>
  <c r="AS48" i="1"/>
  <c r="AS51" i="1"/>
  <c r="AW57" i="1"/>
  <c r="AS89" i="1"/>
  <c r="AS96" i="1"/>
  <c r="AS132" i="1"/>
  <c r="AS168" i="1"/>
  <c r="AS172" i="1"/>
  <c r="AS198" i="1"/>
  <c r="AS206" i="1"/>
  <c r="AW13" i="1"/>
  <c r="AW30" i="1"/>
  <c r="AW37" i="1"/>
  <c r="AS45" i="1"/>
  <c r="AW51" i="1"/>
  <c r="AW111" i="1"/>
  <c r="AS125" i="1"/>
  <c r="AW172" i="1"/>
  <c r="AW202" i="1"/>
  <c r="AW61" i="1"/>
  <c r="AW64" i="1"/>
  <c r="AS75" i="1"/>
  <c r="AS191" i="1"/>
  <c r="AS68" i="1"/>
  <c r="AS86" i="1"/>
  <c r="AW93" i="1"/>
  <c r="AS133" i="1"/>
  <c r="AW150" i="1"/>
  <c r="AS169" i="1"/>
  <c r="AS49" i="1"/>
  <c r="AW58" i="1"/>
  <c r="AS126" i="1"/>
  <c r="AS143" i="1"/>
  <c r="AW154" i="1"/>
  <c r="AS177" i="1"/>
  <c r="AW180" i="1"/>
  <c r="AW184" i="1"/>
  <c r="AS188" i="1"/>
  <c r="AW140" i="1"/>
  <c r="AS94" i="1"/>
  <c r="AW45" i="1"/>
  <c r="AW69" i="1"/>
  <c r="AW72" i="1"/>
  <c r="AS105" i="1"/>
  <c r="AW108" i="1"/>
  <c r="AW169" i="1"/>
  <c r="AW39" i="1"/>
  <c r="AW42" i="1"/>
  <c r="AW48" i="1"/>
  <c r="AS60" i="1"/>
  <c r="AS66" i="1"/>
  <c r="AW75" i="1"/>
  <c r="AW81" i="1"/>
  <c r="AS152" i="1"/>
  <c r="AS166" i="1"/>
  <c r="AS173" i="1"/>
  <c r="AW176" i="1"/>
  <c r="AS187" i="1"/>
  <c r="AW190" i="1"/>
  <c r="AS194" i="1"/>
  <c r="AW54" i="1"/>
  <c r="AS118" i="1"/>
  <c r="AS124" i="1"/>
  <c r="AW133" i="1"/>
  <c r="AS139" i="1"/>
  <c r="AS142" i="1"/>
  <c r="AW145" i="1"/>
  <c r="AS180" i="1"/>
  <c r="AW201" i="1"/>
  <c r="AS205" i="1"/>
  <c r="AS136" i="1"/>
  <c r="AS149" i="1"/>
  <c r="AW152" i="1"/>
  <c r="AS163" i="1"/>
  <c r="AW166" i="1"/>
  <c r="AW194" i="1"/>
  <c r="AW118" i="1"/>
  <c r="AW25" i="1"/>
  <c r="AW28" i="1"/>
  <c r="AS43" i="1"/>
  <c r="AS76" i="1"/>
  <c r="AS88" i="1"/>
  <c r="AS100" i="1"/>
  <c r="AS109" i="1"/>
  <c r="AS184" i="1"/>
  <c r="AW70" i="1"/>
  <c r="AS82" i="1"/>
  <c r="AW91" i="1"/>
  <c r="AS97" i="1"/>
  <c r="AS106" i="1"/>
  <c r="AS146" i="1"/>
  <c r="AS153" i="1"/>
  <c r="AW156" i="1"/>
  <c r="AW170" i="1"/>
  <c r="AW177" i="1"/>
  <c r="AS195" i="1"/>
  <c r="AW198" i="1"/>
  <c r="AS202" i="1"/>
  <c r="AW5" i="1"/>
  <c r="AW40" i="1"/>
  <c r="AW11" i="1"/>
  <c r="AW14" i="1"/>
  <c r="AW31" i="1"/>
  <c r="AW34" i="1"/>
  <c r="AW49" i="1"/>
  <c r="AS52" i="1"/>
  <c r="AS55" i="1"/>
  <c r="AS61" i="1"/>
  <c r="AS67" i="1"/>
  <c r="AW73" i="1"/>
  <c r="AW153" i="1"/>
  <c r="AS167" i="1"/>
  <c r="AS122" i="1"/>
  <c r="AW131" i="1"/>
  <c r="AS137" i="1"/>
  <c r="AS150" i="1"/>
  <c r="AS157" i="1"/>
  <c r="AW160" i="1"/>
  <c r="AS171" i="1"/>
  <c r="AW174" i="1"/>
  <c r="AW60" i="1"/>
  <c r="AS64" i="1"/>
  <c r="AW17" i="1"/>
  <c r="AS164" i="1"/>
  <c r="AS178" i="1"/>
  <c r="AS185" i="1"/>
  <c r="AW188" i="1"/>
  <c r="AW7" i="1"/>
  <c r="AW27" i="1"/>
  <c r="AS22" i="1"/>
  <c r="AW19" i="1"/>
  <c r="AS199" i="1"/>
  <c r="AS203" i="1"/>
  <c r="AW206" i="1"/>
  <c r="AW55" i="1"/>
  <c r="AS77" i="1"/>
  <c r="AS83" i="1"/>
  <c r="AS107" i="1"/>
  <c r="AS116" i="1"/>
  <c r="AS154" i="1"/>
  <c r="AS161" i="1"/>
  <c r="AW164" i="1"/>
  <c r="AW178" i="1"/>
  <c r="AW185" i="1"/>
  <c r="AW192" i="1"/>
  <c r="AS39" i="1"/>
  <c r="AS58" i="1"/>
  <c r="AW29" i="1"/>
  <c r="AW98" i="1"/>
  <c r="AW101" i="1"/>
  <c r="AW161" i="1"/>
  <c r="AS175" i="1"/>
  <c r="AW67" i="1"/>
  <c r="AW23" i="1"/>
  <c r="AW9" i="1"/>
  <c r="AW35" i="1"/>
  <c r="AS50" i="1"/>
  <c r="AW71" i="1"/>
  <c r="AW15" i="1"/>
  <c r="AW47" i="1"/>
  <c r="AW50" i="1"/>
  <c r="AW53" i="1"/>
  <c r="AS65" i="1"/>
  <c r="AW77" i="1"/>
  <c r="AS123" i="1"/>
  <c r="AS144" i="1"/>
  <c r="AS158" i="1"/>
  <c r="AS165" i="1"/>
  <c r="AW168" i="1"/>
  <c r="AP2" i="1"/>
  <c r="AS7" i="1"/>
  <c r="AS27" i="1"/>
  <c r="AW56" i="1"/>
  <c r="AW207" i="1"/>
  <c r="AW59" i="1"/>
  <c r="AW65" i="1"/>
  <c r="AS90" i="1"/>
  <c r="AS93" i="1"/>
  <c r="AS117" i="1"/>
  <c r="AW138" i="1"/>
  <c r="AW141" i="1"/>
  <c r="AW144" i="1"/>
  <c r="AS155" i="1"/>
  <c r="AW158" i="1"/>
  <c r="AW193" i="1"/>
  <c r="AW200" i="1"/>
  <c r="AS72" i="1"/>
  <c r="AS108" i="1"/>
  <c r="AS114" i="1"/>
  <c r="AS176" i="1"/>
  <c r="AS190" i="1"/>
  <c r="AW204" i="1"/>
  <c r="AW36" i="1"/>
  <c r="AW78" i="1"/>
  <c r="AW18" i="1"/>
  <c r="AW74" i="1"/>
  <c r="AW87" i="1"/>
  <c r="AW94" i="1"/>
  <c r="AW127" i="1"/>
  <c r="AW134" i="1"/>
  <c r="AW113" i="1"/>
  <c r="AW120" i="1"/>
  <c r="AW149" i="1"/>
  <c r="AW157" i="1"/>
  <c r="AW165" i="1"/>
  <c r="AW173" i="1"/>
  <c r="AW181" i="1"/>
  <c r="AW189" i="1"/>
  <c r="AW197" i="1"/>
  <c r="AW205" i="1"/>
  <c r="AW139" i="1"/>
  <c r="AW85" i="1"/>
  <c r="AW92" i="1"/>
  <c r="AW125" i="1"/>
  <c r="AW132" i="1"/>
  <c r="AW97" i="1"/>
  <c r="AW104" i="1"/>
  <c r="AW137" i="1"/>
  <c r="AW83" i="1"/>
  <c r="AW90" i="1"/>
  <c r="AW123" i="1"/>
  <c r="AW130" i="1"/>
  <c r="AW147" i="1"/>
  <c r="AW155" i="1"/>
  <c r="AW163" i="1"/>
  <c r="AW171" i="1"/>
  <c r="AW179" i="1"/>
  <c r="AW187" i="1"/>
  <c r="AW195" i="1"/>
  <c r="AW203" i="1"/>
  <c r="AW99" i="1"/>
  <c r="AW106" i="1"/>
  <c r="AW109" i="1"/>
  <c r="AW116" i="1"/>
  <c r="AW95" i="1"/>
  <c r="AW102" i="1"/>
  <c r="AW135" i="1"/>
  <c r="AW142" i="1"/>
  <c r="AW88" i="1"/>
  <c r="AW121" i="1"/>
  <c r="AW128" i="1"/>
  <c r="AW107" i="1"/>
  <c r="AW114" i="1"/>
  <c r="AW86" i="1"/>
  <c r="AW119" i="1"/>
  <c r="AW126" i="1"/>
  <c r="AW105" i="1"/>
  <c r="AW112" i="1"/>
  <c r="AS207" i="1"/>
  <c r="AW84" i="1"/>
  <c r="AW117" i="1"/>
  <c r="AW124" i="1"/>
  <c r="AW103" i="1"/>
  <c r="AW110" i="1"/>
  <c r="AW143" i="1"/>
  <c r="AW151" i="1"/>
  <c r="AW159" i="1"/>
  <c r="AW167" i="1"/>
  <c r="AW175" i="1"/>
  <c r="AW183" i="1"/>
  <c r="AW191" i="1"/>
  <c r="AW199" i="1"/>
  <c r="AW89" i="1"/>
  <c r="AW96" i="1"/>
  <c r="AW129" i="1"/>
  <c r="AW136" i="1"/>
  <c r="AW82" i="1"/>
  <c r="AW115" i="1"/>
  <c r="AW122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<sst xmlns="http://schemas.openxmlformats.org/spreadsheetml/2006/main" count="3539" uniqueCount="1271">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</sst>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9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66" fontId="42" fillId="32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E1" zoomScale="90" zoomScaleNormal="90" workbookViewId="0">
      <selection activeCell="AA12" sqref="AA12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10" width="32.42578125" style="74" customWidth="1"/>
    <col min="21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0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2.4</v>
      </c>
      <c r="U2" s="89">
        <f t="shared" si="0"/>
        <v>4.5999999999999996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>
        <v>26.1</v>
      </c>
      <c r="V5" s="51"/>
      <c r="W5" s="51"/>
      <c r="X5" s="51"/>
      <c r="Y5" s="51"/>
      <c r="Z5" s="111"/>
      <c r="AA5" s="11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11</v>
      </c>
      <c r="AQ5" s="89" t="str">
        <f t="shared" ref="AQ5:AQ68" si="2">IF(AP5&gt;14,AVERAGE(K5:AO5),"")</f>
        <v/>
      </c>
      <c r="AR5" s="89">
        <f>IFERROR(VLOOKUP(A5,Climatologia!A:U,9+$E$2,FALSE),"")</f>
        <v>25.757900536615789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24.7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3.5999999999999979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>
        <v>26.2</v>
      </c>
      <c r="V6" s="51"/>
      <c r="W6" s="51"/>
      <c r="X6" s="51"/>
      <c r="Y6" s="51"/>
      <c r="Z6" s="111"/>
      <c r="AA6" s="11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11</v>
      </c>
      <c r="AQ6" s="89" t="str">
        <f t="shared" si="2"/>
        <v/>
      </c>
      <c r="AR6" s="89">
        <f>IFERROR(VLOOKUP(A6,Climatologia!A:U,9+$E$2,FALSE),"")</f>
        <v>25.133142381863181</v>
      </c>
      <c r="AS6" s="89" t="str">
        <f t="shared" si="3"/>
        <v/>
      </c>
      <c r="AT6" s="90">
        <f t="shared" si="4"/>
        <v>24.2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2.5999999999999979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>
        <v>26.6</v>
      </c>
      <c r="V7" s="51"/>
      <c r="W7" s="51"/>
      <c r="X7" s="51"/>
      <c r="Y7" s="51"/>
      <c r="Z7" s="111"/>
      <c r="AA7" s="11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11</v>
      </c>
      <c r="AQ7" s="89" t="str">
        <f t="shared" si="2"/>
        <v/>
      </c>
      <c r="AR7" s="89">
        <f>IFERROR(VLOOKUP(A7,Climatologia!A:U,9+$E$2,FALSE),"")</f>
        <v>24.42178319826262</v>
      </c>
      <c r="AS7" s="89" t="str">
        <f t="shared" si="3"/>
        <v/>
      </c>
      <c r="AT7" s="90">
        <f t="shared" si="4"/>
        <v>24.2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3.3999999999999986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>
        <v>27.2</v>
      </c>
      <c r="V8" s="51"/>
      <c r="W8" s="51"/>
      <c r="X8" s="51"/>
      <c r="Y8" s="51"/>
      <c r="Z8" s="111"/>
      <c r="AA8" s="11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11</v>
      </c>
      <c r="AQ8" s="89" t="str">
        <f t="shared" si="2"/>
        <v/>
      </c>
      <c r="AR8" s="89">
        <f>IFERROR(VLOOKUP(A8,Climatologia!A:U,9+$E$2,FALSE),"")</f>
        <v>25.551483083943129</v>
      </c>
      <c r="AS8" s="89" t="str">
        <f t="shared" si="3"/>
        <v/>
      </c>
      <c r="AT8" s="90">
        <f t="shared" si="4"/>
        <v>25.1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4.1000000000000014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>
        <v>26.1</v>
      </c>
      <c r="V9" s="51"/>
      <c r="W9" s="51"/>
      <c r="X9" s="51"/>
      <c r="Y9" s="51"/>
      <c r="Z9" s="111"/>
      <c r="AA9" s="11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11</v>
      </c>
      <c r="AQ9" s="89" t="str">
        <f t="shared" si="2"/>
        <v/>
      </c>
      <c r="AR9" s="89">
        <f>IFERROR(VLOOKUP(A9,Climatologia!A:U,9+$E$2,FALSE),"")</f>
        <v>24.136239361108551</v>
      </c>
      <c r="AS9" s="89" t="str">
        <f t="shared" si="3"/>
        <v/>
      </c>
      <c r="AT9" s="90">
        <f t="shared" si="4"/>
        <v>23.6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3.4000000000000021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>
        <v>27</v>
      </c>
      <c r="V10" s="51"/>
      <c r="W10" s="51"/>
      <c r="X10" s="51"/>
      <c r="Y10" s="51"/>
      <c r="Z10" s="111"/>
      <c r="AA10" s="11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11</v>
      </c>
      <c r="AQ10" s="89" t="str">
        <f t="shared" si="2"/>
        <v/>
      </c>
      <c r="AR10" s="89">
        <f>IFERROR(VLOOKUP(A10,Climatologia!A:U,9+$E$2,FALSE),"")</f>
        <v>24.24301609371965</v>
      </c>
      <c r="AS10" s="89" t="str">
        <f t="shared" si="3"/>
        <v/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>
        <v>25.8</v>
      </c>
      <c r="V11" s="51"/>
      <c r="W11" s="51"/>
      <c r="X11" s="51"/>
      <c r="Y11" s="51"/>
      <c r="Z11" s="111"/>
      <c r="AA11" s="11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11</v>
      </c>
      <c r="AQ11" s="89" t="str">
        <f t="shared" si="2"/>
        <v/>
      </c>
      <c r="AR11" s="89">
        <f>IFERROR(VLOOKUP(A11,Climatologia!A:U,9+$E$2,FALSE),"")</f>
        <v>23.553692295015981</v>
      </c>
      <c r="AS11" s="89" t="str">
        <f t="shared" si="3"/>
        <v/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5.2000000000000028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>
        <v>26.1</v>
      </c>
      <c r="V12" s="51"/>
      <c r="W12" s="51"/>
      <c r="X12" s="51"/>
      <c r="Y12" s="51"/>
      <c r="Z12" s="111"/>
      <c r="AA12" s="11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11</v>
      </c>
      <c r="AQ12" s="89" t="str">
        <f t="shared" si="2"/>
        <v/>
      </c>
      <c r="AR12" s="89">
        <f>IFERROR(VLOOKUP(A12,Climatologia!A:U,9+$E$2,FALSE),"")</f>
        <v>23.215266882127882</v>
      </c>
      <c r="AS12" s="89" t="str">
        <f t="shared" si="3"/>
        <v/>
      </c>
      <c r="AT12" s="90">
        <f t="shared" si="4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3.7999999999999972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>
        <v>25</v>
      </c>
      <c r="V13" s="51"/>
      <c r="W13" s="51"/>
      <c r="X13" s="51"/>
      <c r="Y13" s="51"/>
      <c r="Z13" s="111"/>
      <c r="AA13" s="11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11</v>
      </c>
      <c r="AQ13" s="89" t="str">
        <f t="shared" si="2"/>
        <v/>
      </c>
      <c r="AR13" s="89">
        <f>IFERROR(VLOOKUP(A13,Climatologia!A:U,9+$E$2,FALSE),"")</f>
        <v>23.105314900153608</v>
      </c>
      <c r="AS13" s="89" t="str">
        <f t="shared" si="3"/>
        <v/>
      </c>
      <c r="AT13" s="90">
        <f t="shared" si="4"/>
        <v>22.6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1.7000000000000028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>
        <v>19.7</v>
      </c>
      <c r="V14" s="51"/>
      <c r="W14" s="51"/>
      <c r="X14" s="51"/>
      <c r="Y14" s="51"/>
      <c r="Z14" s="111"/>
      <c r="AA14" s="11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11</v>
      </c>
      <c r="AQ14" s="89" t="str">
        <f t="shared" si="2"/>
        <v/>
      </c>
      <c r="AR14" s="89">
        <f>IFERROR(VLOOKUP(A14,Climatologia!A:U,9+$E$2,FALSE),"")</f>
        <v>18.35928061981825</v>
      </c>
      <c r="AS14" s="89" t="str">
        <f t="shared" si="3"/>
        <v/>
      </c>
      <c r="AT14" s="90">
        <f t="shared" si="4"/>
        <v>18.3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3.3000000000000007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>
        <v>23.7</v>
      </c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11</v>
      </c>
      <c r="AQ15" s="89" t="str">
        <f t="shared" si="2"/>
        <v/>
      </c>
      <c r="AR15" s="89">
        <f>IFERROR(VLOOKUP(A15,Climatologia!A:U,9+$E$2,FALSE),"")</f>
        <v>22.93138888888889</v>
      </c>
      <c r="AS15" s="89" t="str">
        <f t="shared" si="3"/>
        <v/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>
        <v>25.2</v>
      </c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11</v>
      </c>
      <c r="AQ16" s="89" t="str">
        <f t="shared" si="2"/>
        <v/>
      </c>
      <c r="AR16" s="89">
        <f>IFERROR(VLOOKUP(A16,Climatologia!A:U,9+$E$2,FALSE),"")</f>
        <v>23.20756656273802</v>
      </c>
      <c r="AS16" s="89" t="str">
        <f t="shared" si="3"/>
        <v/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>
        <v>18.7</v>
      </c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11</v>
      </c>
      <c r="AQ17" s="89" t="str">
        <f t="shared" si="2"/>
        <v/>
      </c>
      <c r="AR17" s="89">
        <f>IFERROR(VLOOKUP(A17,Climatologia!A:U,9+$E$2,FALSE),"")</f>
        <v>17.420270031836139</v>
      </c>
      <c r="AS17" s="89" t="str">
        <f t="shared" si="3"/>
        <v/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>
        <v>12.5</v>
      </c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11</v>
      </c>
      <c r="AQ18" s="89" t="str">
        <f t="shared" si="2"/>
        <v/>
      </c>
      <c r="AR18" s="89">
        <f>IFERROR(VLOOKUP(A18,Climatologia!A:U,9+$E$2,FALSE),"")</f>
        <v>12.681788530465949</v>
      </c>
      <c r="AS18" s="89" t="str">
        <f t="shared" si="3"/>
        <v/>
      </c>
      <c r="AT18" s="90">
        <f t="shared" si="4"/>
        <v>12.5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5.5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>
        <v>17.399999999999999</v>
      </c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11</v>
      </c>
      <c r="AQ19" s="89" t="str">
        <f t="shared" si="2"/>
        <v/>
      </c>
      <c r="AR19" s="89">
        <f>IFERROR(VLOOKUP(A19,Climatologia!A:U,9+$E$2,FALSE),"")</f>
        <v>17.368349875930519</v>
      </c>
      <c r="AS19" s="89" t="str">
        <f t="shared" si="3"/>
        <v/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3.3999999999999986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>
        <v>16.600000000000001</v>
      </c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11</v>
      </c>
      <c r="AQ20" s="89" t="str">
        <f t="shared" si="2"/>
        <v/>
      </c>
      <c r="AR20" s="89">
        <f>IFERROR(VLOOKUP(A20,Climatologia!A:U,9+$E$2,FALSE),"")</f>
        <v>16.985610863922879</v>
      </c>
      <c r="AS20" s="89" t="str">
        <f t="shared" si="3"/>
        <v/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>
        <v>18.600000000000001</v>
      </c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11</v>
      </c>
      <c r="AQ21" s="89" t="str">
        <f t="shared" si="2"/>
        <v/>
      </c>
      <c r="AR21" s="89">
        <f>IFERROR(VLOOKUP(A21,Climatologia!A:U,9+$E$2,FALSE),"")</f>
        <v>19.10423923406961</v>
      </c>
      <c r="AS21" s="89" t="str">
        <f t="shared" si="3"/>
        <v/>
      </c>
      <c r="AT21" s="90">
        <f t="shared" si="4"/>
        <v>18.600000000000001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2.4000000000000021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>
        <v>11.5</v>
      </c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11</v>
      </c>
      <c r="AQ22" s="89" t="str">
        <f t="shared" si="2"/>
        <v/>
      </c>
      <c r="AR22" s="89">
        <f>IFERROR(VLOOKUP(A22,Climatologia!A:U,9+$E$2,FALSE),"")</f>
        <v>8.2983447859006159</v>
      </c>
      <c r="AS22" s="89" t="str">
        <f t="shared" si="3"/>
        <v/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>
        <v>19.100000000000001</v>
      </c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11</v>
      </c>
      <c r="AQ23" s="89" t="str">
        <f t="shared" si="2"/>
        <v/>
      </c>
      <c r="AR23" s="89">
        <f>IFERROR(VLOOKUP(A23,Climatologia!A:U,9+$E$2,FALSE),"")</f>
        <v>18.736530737721061</v>
      </c>
      <c r="AS23" s="89" t="str">
        <f t="shared" si="3"/>
        <v/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>
        <v>24.3</v>
      </c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11</v>
      </c>
      <c r="AQ24" s="89" t="str">
        <f t="shared" si="2"/>
        <v/>
      </c>
      <c r="AR24" s="89">
        <f>IFERROR(VLOOKUP(A24,Climatologia!A:U,9+$E$2,FALSE),"")</f>
        <v>22.82391397849462</v>
      </c>
      <c r="AS24" s="89" t="str">
        <f t="shared" si="3"/>
        <v/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>
        <v>14.8</v>
      </c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11</v>
      </c>
      <c r="AQ25" s="89" t="str">
        <f t="shared" si="2"/>
        <v/>
      </c>
      <c r="AR25" s="89">
        <f>IFERROR(VLOOKUP(A25,Climatologia!A:U,9+$E$2,FALSE),"")</f>
        <v>14.48602050485254</v>
      </c>
      <c r="AS25" s="89" t="str">
        <f t="shared" si="3"/>
        <v/>
      </c>
      <c r="AT25" s="90">
        <f t="shared" si="4"/>
        <v>14.6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3.5999999999999996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>
        <v>5.6</v>
      </c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11</v>
      </c>
      <c r="AQ26" s="89" t="str">
        <f t="shared" si="2"/>
        <v/>
      </c>
      <c r="AR26" s="89">
        <f>IFERROR(VLOOKUP(A26,Climatologia!A:U,9+$E$2,FALSE),"")</f>
        <v>5.5372974910394257</v>
      </c>
      <c r="AS26" s="89" t="str">
        <f t="shared" si="3"/>
        <v/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>
        <v>25.2</v>
      </c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11</v>
      </c>
      <c r="AQ27" s="89" t="str">
        <f t="shared" si="2"/>
        <v/>
      </c>
      <c r="AR27" s="89">
        <f>IFERROR(VLOOKUP(A27,Climatologia!A:U,9+$E$2,FALSE),"")</f>
        <v>23.19207267334075</v>
      </c>
      <c r="AS27" s="89" t="str">
        <f t="shared" si="3"/>
        <v/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>
        <v>23.4</v>
      </c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11</v>
      </c>
      <c r="AQ28" s="89" t="str">
        <f t="shared" si="2"/>
        <v/>
      </c>
      <c r="AR28" s="89">
        <f>IFERROR(VLOOKUP(A28,Climatologia!A:U,9+$E$2,FALSE),"")</f>
        <v>23.06253726362625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>
        <v>25.3</v>
      </c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11</v>
      </c>
      <c r="AQ29" s="89" t="str">
        <f t="shared" si="2"/>
        <v/>
      </c>
      <c r="AR29" s="89">
        <f>IFERROR(VLOOKUP(A29,Climatologia!A:U,9+$E$2,FALSE),"")</f>
        <v>24.089849462365589</v>
      </c>
      <c r="AS29" s="89" t="str">
        <f t="shared" si="3"/>
        <v/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>
        <v>22.6</v>
      </c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11</v>
      </c>
      <c r="AQ30" s="89" t="str">
        <f t="shared" si="2"/>
        <v/>
      </c>
      <c r="AR30" s="89">
        <f>IFERROR(VLOOKUP(A30,Climatologia!A:U,9+$E$2,FALSE),"")</f>
        <v>20.982655913978491</v>
      </c>
      <c r="AS30" s="89" t="str">
        <f t="shared" si="3"/>
        <v/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3.6999999999999993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21">
        <v>24.2</v>
      </c>
      <c r="Q31" s="121">
        <v>24.2</v>
      </c>
      <c r="R31" s="121">
        <v>24.2</v>
      </c>
      <c r="S31" s="108">
        <v>23.5</v>
      </c>
      <c r="T31" s="108">
        <v>23.2</v>
      </c>
      <c r="U31" s="108">
        <v>23.7</v>
      </c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11</v>
      </c>
      <c r="AQ31" s="89" t="str">
        <f t="shared" si="2"/>
        <v/>
      </c>
      <c r="AR31" s="89">
        <f>IFERROR(VLOOKUP(A31,Climatologia!A:U,9+$E$2,FALSE),"")</f>
        <v>22.908834408602139</v>
      </c>
      <c r="AS31" s="89" t="str">
        <f t="shared" si="3"/>
        <v/>
      </c>
      <c r="AT31" s="90">
        <f t="shared" si="4"/>
        <v>22.7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4.3999999999999986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>
        <v>12.2</v>
      </c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11</v>
      </c>
      <c r="AQ32" s="89" t="str">
        <f t="shared" si="2"/>
        <v/>
      </c>
      <c r="AR32" s="89">
        <f>IFERROR(VLOOKUP(A32,Climatologia!A:U,9+$E$2,FALSE),"")</f>
        <v>13.297276412357061</v>
      </c>
      <c r="AS32" s="89" t="str">
        <f t="shared" si="3"/>
        <v/>
      </c>
      <c r="AT32" s="90">
        <f t="shared" si="4"/>
        <v>12.2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4.7999999999999989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>
        <v>15.6</v>
      </c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11</v>
      </c>
      <c r="AQ34" s="89" t="str">
        <f t="shared" si="2"/>
        <v/>
      </c>
      <c r="AR34" s="89">
        <f>IFERROR(VLOOKUP(A34,Climatologia!A:U,9+$E$2,FALSE),"")</f>
        <v>15.19415680704239</v>
      </c>
      <c r="AS34" s="89" t="str">
        <f t="shared" si="3"/>
        <v/>
      </c>
      <c r="AT34" s="90">
        <f t="shared" si="4"/>
        <v>15.4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>
        <v>15.4</v>
      </c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11</v>
      </c>
      <c r="AQ35" s="89" t="str">
        <f t="shared" si="2"/>
        <v/>
      </c>
      <c r="AR35" s="89">
        <f>IFERROR(VLOOKUP(A35,Climatologia!A:U,9+$E$2,FALSE),"")</f>
        <v>13.09084501214612</v>
      </c>
      <c r="AS35" s="89" t="str">
        <f t="shared" si="3"/>
        <v/>
      </c>
      <c r="AT35" s="90">
        <f t="shared" si="4"/>
        <v>14.8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5.6000000000000014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>
        <v>19.2</v>
      </c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11</v>
      </c>
      <c r="AQ36" s="89" t="str">
        <f t="shared" si="2"/>
        <v/>
      </c>
      <c r="AR36" s="89">
        <f>IFERROR(VLOOKUP(A36,Climatologia!A:U,9+$E$2,FALSE),"")</f>
        <v>19.808075083426029</v>
      </c>
      <c r="AS36" s="89" t="str">
        <f t="shared" si="3"/>
        <v/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>
        <v>4.5999999999999996</v>
      </c>
      <c r="V37" s="51"/>
      <c r="W37" s="51"/>
      <c r="X37" s="51"/>
      <c r="Y37" s="51"/>
      <c r="Z37" s="111"/>
      <c r="AA37" s="51"/>
      <c r="AB37" s="10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11</v>
      </c>
      <c r="AQ37" s="89" t="str">
        <f t="shared" si="2"/>
        <v/>
      </c>
      <c r="AR37" s="89">
        <f>IFERROR(VLOOKUP(A37,Climatologia!A:U,9+$E$2,FALSE),"")</f>
        <v>9.9480459770114962</v>
      </c>
      <c r="AS37" s="89" t="str">
        <f t="shared" si="3"/>
        <v/>
      </c>
      <c r="AT37" s="90">
        <f t="shared" si="4"/>
        <v>4.5999999999999996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>
        <v>16</v>
      </c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11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>
        <v>18.399999999999999</v>
      </c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8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>
        <v>14.8</v>
      </c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11</v>
      </c>
      <c r="AQ40" s="89" t="str">
        <f t="shared" si="2"/>
        <v/>
      </c>
      <c r="AR40" s="89">
        <f>IFERROR(VLOOKUP(A40,Climatologia!A:U,9+$E$2,FALSE),"")</f>
        <v>13.21942693527788</v>
      </c>
      <c r="AS40" s="89" t="str">
        <f t="shared" si="3"/>
        <v/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>
        <v>25.6</v>
      </c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11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>
        <v>25.4</v>
      </c>
      <c r="U42" s="51">
        <v>26.4</v>
      </c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11</v>
      </c>
      <c r="AQ42" s="89" t="str">
        <f t="shared" si="2"/>
        <v/>
      </c>
      <c r="AR42" s="89">
        <f>IFERROR(VLOOKUP(A42,Climatologia!A:U,9+$E$2,FALSE),"")</f>
        <v>24.022828175927401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>
        <v>24.4</v>
      </c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11</v>
      </c>
      <c r="AQ43" s="89" t="str">
        <f t="shared" si="2"/>
        <v/>
      </c>
      <c r="AR43" s="89">
        <f>IFERROR(VLOOKUP(A43,Climatologia!A:U,9+$E$2,FALSE),"")</f>
        <v>23.71034092848609</v>
      </c>
      <c r="AS43" s="89" t="str">
        <f t="shared" si="3"/>
        <v/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>
        <v>25.4</v>
      </c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11</v>
      </c>
      <c r="AQ47" s="89" t="str">
        <f t="shared" si="2"/>
        <v/>
      </c>
      <c r="AR47" s="89">
        <f>IFERROR(VLOOKUP(A47,Climatologia!A:U,9+$E$2,FALSE),"")</f>
        <v>22.723827956989251</v>
      </c>
      <c r="AS47" s="89" t="str">
        <f t="shared" si="3"/>
        <v/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10</v>
      </c>
      <c r="AQ51" s="89" t="str">
        <f t="shared" si="2"/>
        <v/>
      </c>
      <c r="AR51" s="89">
        <f>IFERROR(VLOOKUP(A51,Climatologia!A:U,9+$E$2,FALSE),"")</f>
        <v>23.115766791463461</v>
      </c>
      <c r="AS51" s="89" t="str">
        <f t="shared" si="3"/>
        <v/>
      </c>
      <c r="AT51" s="90">
        <f t="shared" si="4"/>
        <v>22.2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4.1999999999999993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>
        <v>23.8</v>
      </c>
      <c r="U52" s="51">
        <v>24.2</v>
      </c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11</v>
      </c>
      <c r="AQ52" s="89" t="str">
        <f t="shared" si="2"/>
        <v/>
      </c>
      <c r="AR52" s="89">
        <f>IFERROR(VLOOKUP(A52,Climatologia!A:U,9+$E$2,FALSE),"")</f>
        <v>22.856683489199249</v>
      </c>
      <c r="AS52" s="89" t="str">
        <f t="shared" si="3"/>
        <v/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>
        <v>26</v>
      </c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9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>
        <v>26.4</v>
      </c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11</v>
      </c>
      <c r="AQ57" s="89" t="str">
        <f t="shared" si="2"/>
        <v/>
      </c>
      <c r="AR57" s="89">
        <f>IFERROR(VLOOKUP(A57,Climatologia!A:U,9+$E$2,FALSE),"")</f>
        <v>23.60171118101983</v>
      </c>
      <c r="AS57" s="89" t="str">
        <f t="shared" si="3"/>
        <v/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7</v>
      </c>
      <c r="AQ58" s="89" t="str">
        <f t="shared" si="2"/>
        <v/>
      </c>
      <c r="AR58" s="89">
        <f>IFERROR(VLOOKUP(A58,Climatologia!A:U,9+$E$2,FALSE),"")</f>
        <v>21.780571762049181</v>
      </c>
      <c r="AS58" s="89" t="str">
        <f t="shared" si="3"/>
        <v/>
      </c>
      <c r="AT58" s="90">
        <f t="shared" si="4"/>
        <v>22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5.5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>
        <v>22.6</v>
      </c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11</v>
      </c>
      <c r="AQ60" s="89" t="str">
        <f t="shared" si="2"/>
        <v/>
      </c>
      <c r="AR60" s="89">
        <f>IFERROR(VLOOKUP(A60,Climatologia!A:U,9+$E$2,FALSE),"")</f>
        <v>22.020020603223369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>
        <v>23.4</v>
      </c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11</v>
      </c>
      <c r="AQ63" s="89" t="str">
        <f t="shared" si="2"/>
        <v/>
      </c>
      <c r="AR63" s="89">
        <f>IFERROR(VLOOKUP(A63,Climatologia!A:U,9+$E$2,FALSE),"")</f>
        <v>22.52058403517136</v>
      </c>
      <c r="AS63" s="89" t="str">
        <f t="shared" si="3"/>
        <v/>
      </c>
      <c r="AT63" s="90">
        <f t="shared" si="4"/>
        <v>22.8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3.6999999999999993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>
        <v>22.2</v>
      </c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11</v>
      </c>
      <c r="AQ64" s="89" t="str">
        <f t="shared" si="2"/>
        <v/>
      </c>
      <c r="AR64" s="89">
        <f>IFERROR(VLOOKUP(A64,Climatologia!A:U,9+$E$2,FALSE),"")</f>
        <v>22.21844275065709</v>
      </c>
      <c r="AS64" s="89" t="str">
        <f t="shared" si="3"/>
        <v/>
      </c>
      <c r="AT64" s="90">
        <f t="shared" si="4"/>
        <v>22.2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4.1999999999999993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>
        <v>23.2</v>
      </c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11</v>
      </c>
      <c r="AQ65" s="89" t="str">
        <f t="shared" si="2"/>
        <v/>
      </c>
      <c r="AR65" s="89">
        <f>IFERROR(VLOOKUP(A65,Climatologia!A:U,9+$E$2,FALSE),"")</f>
        <v>21.954907209339911</v>
      </c>
      <c r="AS65" s="89" t="str">
        <f t="shared" si="3"/>
        <v/>
      </c>
      <c r="AT65" s="90">
        <f t="shared" si="4"/>
        <v>22.4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4.3999999999999986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>
        <v>21.6</v>
      </c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11</v>
      </c>
      <c r="AQ66" s="89" t="str">
        <f t="shared" si="2"/>
        <v/>
      </c>
      <c r="AR66" s="89">
        <f>IFERROR(VLOOKUP(A66,Climatologia!A:U,9+$E$2,FALSE),"")</f>
        <v>21.542525027808679</v>
      </c>
      <c r="AS66" s="89" t="str">
        <f t="shared" si="3"/>
        <v/>
      </c>
      <c r="AT66" s="90">
        <f t="shared" si="4"/>
        <v>19.8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4.8000000000000007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>
        <v>22.6</v>
      </c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11</v>
      </c>
      <c r="AQ67" s="89" t="str">
        <f t="shared" si="2"/>
        <v/>
      </c>
      <c r="AR67" s="89">
        <f>IFERROR(VLOOKUP(A67,Climatologia!A:U,9+$E$2,FALSE),"")</f>
        <v>21.616830208575259</v>
      </c>
      <c r="AS67" s="89" t="str">
        <f t="shared" si="3"/>
        <v/>
      </c>
      <c r="AT67" s="90">
        <f t="shared" si="4"/>
        <v>20.8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8</v>
      </c>
      <c r="AQ68" s="89" t="str">
        <f t="shared" si="2"/>
        <v/>
      </c>
      <c r="AR68" s="89">
        <f>IFERROR(VLOOKUP(A68,Climatologia!A:U,9+$E$2,FALSE),"")</f>
        <v>21.45017676250643</v>
      </c>
      <c r="AS68" s="89" t="str">
        <f t="shared" si="3"/>
        <v/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4.1999999999999993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>
        <v>24</v>
      </c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11</v>
      </c>
      <c r="AQ69" s="89" t="str">
        <f t="shared" ref="AQ69:AQ132" si="7">IF(AP69&gt;14,AVERAGE(K69:AO69),"")</f>
        <v/>
      </c>
      <c r="AR69" s="89">
        <f>IFERROR(VLOOKUP(A69,Climatologia!A:U,9+$E$2,FALSE),"")</f>
        <v>22.754587245087141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>
        <v>23.2</v>
      </c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11</v>
      </c>
      <c r="AQ70" s="89" t="str">
        <f t="shared" si="7"/>
        <v/>
      </c>
      <c r="AR70" s="89">
        <f>IFERROR(VLOOKUP(A70,Climatologia!A:U,9+$E$2,FALSE),"")</f>
        <v>21.770503225806451</v>
      </c>
      <c r="AS70" s="89" t="str">
        <f t="shared" si="8"/>
        <v/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6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>
        <v>18.2</v>
      </c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11</v>
      </c>
      <c r="AQ72" s="89" t="str">
        <f t="shared" si="7"/>
        <v/>
      </c>
      <c r="AR72" s="89">
        <f>IFERROR(VLOOKUP(A72,Climatologia!A:U,9+$E$2,FALSE),"")</f>
        <v>17.29926947890819</v>
      </c>
      <c r="AS72" s="89" t="str">
        <f t="shared" si="8"/>
        <v/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>
        <v>12.4</v>
      </c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9</v>
      </c>
      <c r="AQ73" s="89" t="str">
        <f t="shared" si="7"/>
        <v/>
      </c>
      <c r="AR73" s="89">
        <f>IFERROR(VLOOKUP(A73,Climatologia!A:U,9+$E$2,FALSE),"")</f>
        <v>11.853828043554991</v>
      </c>
      <c r="AS73" s="89" t="str">
        <f t="shared" si="8"/>
        <v/>
      </c>
      <c r="AT73" s="90">
        <f t="shared" si="9"/>
        <v>11.4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4.4000000000000004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>
        <v>15.2</v>
      </c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11</v>
      </c>
      <c r="AQ74" s="89" t="str">
        <f t="shared" si="7"/>
        <v/>
      </c>
      <c r="AR74" s="89">
        <f>IFERROR(VLOOKUP(A74,Climatologia!A:U,9+$E$2,FALSE),"")</f>
        <v>16.083376302838008</v>
      </c>
      <c r="AS74" s="89" t="str">
        <f t="shared" si="8"/>
        <v/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>
        <v>20</v>
      </c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5</v>
      </c>
      <c r="AQ75" s="89" t="str">
        <f t="shared" si="7"/>
        <v/>
      </c>
      <c r="AR75" s="89">
        <f>IFERROR(VLOOKUP(A75,Climatologia!A:U,9+$E$2,FALSE),"")</f>
        <v>18.473899131646231</v>
      </c>
      <c r="AS75" s="89" t="str">
        <f t="shared" si="8"/>
        <v/>
      </c>
      <c r="AT75" s="90">
        <f t="shared" si="9"/>
        <v>19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4.4000000000000004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>
        <v>24.8</v>
      </c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11</v>
      </c>
      <c r="AQ76" s="89" t="str">
        <f t="shared" si="7"/>
        <v/>
      </c>
      <c r="AR76" s="89">
        <f>IFERROR(VLOOKUP(A76,Climatologia!A:U,9+$E$2,FALSE),"")</f>
        <v>23.619788852153011</v>
      </c>
      <c r="AS76" s="89" t="str">
        <f t="shared" si="8"/>
        <v/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>
        <v>23.8</v>
      </c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10</v>
      </c>
      <c r="AQ77" s="89" t="str">
        <f t="shared" si="7"/>
        <v/>
      </c>
      <c r="AR77" s="89">
        <f>IFERROR(VLOOKUP(A77,Climatologia!A:U,9+$E$2,FALSE),"")</f>
        <v>23.008941552526402</v>
      </c>
      <c r="AS77" s="89" t="str">
        <f t="shared" si="8"/>
        <v/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>
        <v>14.6</v>
      </c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11</v>
      </c>
      <c r="AQ78" s="89" t="str">
        <f t="shared" si="7"/>
        <v/>
      </c>
      <c r="AR78" s="89">
        <f>IFERROR(VLOOKUP(A78,Climatologia!A:U,9+$E$2,FALSE),"")</f>
        <v>16.094530495829719</v>
      </c>
      <c r="AS78" s="89" t="str">
        <f t="shared" si="8"/>
        <v/>
      </c>
      <c r="AT78" s="90">
        <f t="shared" si="9"/>
        <v>14.4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>
        <v>23.2</v>
      </c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11</v>
      </c>
      <c r="AQ80" s="89" t="str">
        <f t="shared" si="7"/>
        <v/>
      </c>
      <c r="AR80" s="89">
        <f>IFERROR(VLOOKUP(A80,Climatologia!A:U,9+$E$2,FALSE),"")</f>
        <v>22.375162422136839</v>
      </c>
      <c r="AS80" s="89" t="str">
        <f t="shared" si="8"/>
        <v/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>
        <v>28</v>
      </c>
      <c r="T82" s="51">
        <v>28.2</v>
      </c>
      <c r="U82" s="51">
        <v>28.2</v>
      </c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27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9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>
        <v>25.4</v>
      </c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11</v>
      </c>
      <c r="AQ83" s="89" t="str">
        <f t="shared" si="7"/>
        <v/>
      </c>
      <c r="AR83" s="89">
        <f>IFERROR(VLOOKUP(A83,Climatologia!A:U,9+$E$2,FALSE),"")</f>
        <v>22.435866459028549</v>
      </c>
      <c r="AS83" s="89" t="str">
        <f t="shared" si="8"/>
        <v/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>
        <v>21.8</v>
      </c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11</v>
      </c>
      <c r="AQ85" s="89" t="str">
        <f t="shared" si="7"/>
        <v/>
      </c>
      <c r="AR85" s="89">
        <f>IFERROR(VLOOKUP(A85,Climatologia!A:U,9+$E$2,FALSE),"")</f>
        <v>22.13913594470046</v>
      </c>
      <c r="AS85" s="89" t="str">
        <f t="shared" si="8"/>
        <v/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3.4000000000000021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>
        <v>24.4</v>
      </c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11</v>
      </c>
      <c r="AQ86" s="89" t="str">
        <f t="shared" si="7"/>
        <v/>
      </c>
      <c r="AR86" s="89">
        <f>IFERROR(VLOOKUP(A86,Climatologia!A:U,9+$E$2,FALSE),"")</f>
        <v>23.145101562582759</v>
      </c>
      <c r="AS86" s="89" t="str">
        <f t="shared" si="8"/>
        <v/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>
        <v>25</v>
      </c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9</v>
      </c>
      <c r="AQ87" s="89" t="str">
        <f t="shared" si="7"/>
        <v/>
      </c>
      <c r="AR87" s="89">
        <f>IFERROR(VLOOKUP(A87,Climatologia!A:U,9+$E$2,FALSE),"")</f>
        <v>22.600227318102728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6.1999999999999993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>
        <v>25.4</v>
      </c>
      <c r="V88" s="116"/>
      <c r="W88" s="116"/>
      <c r="X88" s="116"/>
      <c r="Y88" s="116"/>
      <c r="Z88" s="117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11</v>
      </c>
      <c r="AQ88" s="89" t="str">
        <f t="shared" si="7"/>
        <v/>
      </c>
      <c r="AR88" s="89">
        <f>IFERROR(VLOOKUP(A88,Climatologia!A:U,9+$E$2,FALSE),"")</f>
        <v>22.571747311827949</v>
      </c>
      <c r="AS88" s="89" t="str">
        <f t="shared" si="8"/>
        <v/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>
        <v>11.6</v>
      </c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11</v>
      </c>
      <c r="AQ89" s="89" t="str">
        <f t="shared" si="7"/>
        <v/>
      </c>
      <c r="AR89" s="89">
        <f>IFERROR(VLOOKUP(A89,Climatologia!A:U,9+$E$2,FALSE),"")</f>
        <v>11.23677419354839</v>
      </c>
      <c r="AS89" s="89" t="str">
        <f t="shared" si="8"/>
        <v/>
      </c>
      <c r="AT89" s="90">
        <f t="shared" si="9"/>
        <v>11.6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6.3999999999999995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>
        <v>18.399999999999999</v>
      </c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11</v>
      </c>
      <c r="AQ90" s="89" t="str">
        <f t="shared" si="7"/>
        <v/>
      </c>
      <c r="AR90" s="89">
        <f>IFERROR(VLOOKUP(A90,Climatologia!A:U,9+$E$2,FALSE),"")</f>
        <v>17.698283520980588</v>
      </c>
      <c r="AS90" s="89" t="str">
        <f t="shared" si="8"/>
        <v/>
      </c>
      <c r="AT90" s="90">
        <f t="shared" si="9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4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>
        <v>10.8</v>
      </c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11</v>
      </c>
      <c r="AQ91" s="89" t="str">
        <f t="shared" si="7"/>
        <v/>
      </c>
      <c r="AR91" s="89">
        <f>IFERROR(VLOOKUP(A91,Climatologia!A:U,9+$E$2,FALSE),"")</f>
        <v>11.050713443887011</v>
      </c>
      <c r="AS91" s="89" t="str">
        <f t="shared" si="8"/>
        <v/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>
        <v>10.8</v>
      </c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11</v>
      </c>
      <c r="AQ92" s="89" t="str">
        <f t="shared" si="7"/>
        <v/>
      </c>
      <c r="AR92" s="89">
        <f>IFERROR(VLOOKUP(A92,Climatologia!A:U,9+$E$2,FALSE),"")</f>
        <v>8.498079612267599</v>
      </c>
      <c r="AS92" s="89" t="str">
        <f t="shared" si="8"/>
        <v/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>
        <v>6.4</v>
      </c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11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>
        <v>7.2</v>
      </c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11</v>
      </c>
      <c r="AQ95" s="89" t="str">
        <f t="shared" si="7"/>
        <v/>
      </c>
      <c r="AR95" s="89">
        <f>IFERROR(VLOOKUP(A95,Climatologia!A:U,9+$E$2,FALSE),"")</f>
        <v>7.471608983874277</v>
      </c>
      <c r="AS95" s="89" t="str">
        <f t="shared" si="8"/>
        <v/>
      </c>
      <c r="AT95" s="90">
        <f t="shared" si="9"/>
        <v>4.8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3.5999999999999996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>
        <v>8.6</v>
      </c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11</v>
      </c>
      <c r="AQ96" s="89" t="str">
        <f t="shared" si="7"/>
        <v/>
      </c>
      <c r="AR96" s="89">
        <f>IFERROR(VLOOKUP(A96,Climatologia!A:U,9+$E$2,FALSE),"")</f>
        <v>8.3676112899131585</v>
      </c>
      <c r="AS96" s="89" t="str">
        <f t="shared" si="8"/>
        <v/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9</v>
      </c>
      <c r="AQ97" s="89" t="str">
        <f t="shared" si="7"/>
        <v/>
      </c>
      <c r="AR97" s="89">
        <f>IFERROR(VLOOKUP(A97,Climatologia!A:U,9+$E$2,FALSE),"")</f>
        <v>7.1979586897027676</v>
      </c>
      <c r="AS97" s="89" t="str">
        <f t="shared" si="8"/>
        <v/>
      </c>
      <c r="AT97" s="90">
        <f t="shared" si="9"/>
        <v>5.6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6.8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>
        <v>10.199999999999999</v>
      </c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11</v>
      </c>
      <c r="AQ98" s="89" t="str">
        <f t="shared" si="7"/>
        <v/>
      </c>
      <c r="AR98" s="89">
        <f>IFERROR(VLOOKUP(A98,Climatologia!A:U,9+$E$2,FALSE),"")</f>
        <v>8.6909754224270355</v>
      </c>
      <c r="AS98" s="89" t="str">
        <f t="shared" si="8"/>
        <v/>
      </c>
      <c r="AT98" s="90">
        <f t="shared" si="9"/>
        <v>6.6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3.3999999999999995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51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>
        <v>6</v>
      </c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10</v>
      </c>
      <c r="AQ99" s="89" t="str">
        <f t="shared" si="7"/>
        <v/>
      </c>
      <c r="AR99" s="89">
        <f>IFERROR(VLOOKUP(A99,Climatologia!A:U,9+$E$2,FALSE),"")</f>
        <v>6.7688585607940448</v>
      </c>
      <c r="AS99" s="89" t="str">
        <f t="shared" si="8"/>
        <v/>
      </c>
      <c r="AT99" s="90">
        <f t="shared" si="9"/>
        <v>4.2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>
        <v>11.2</v>
      </c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11</v>
      </c>
      <c r="AQ102" s="89" t="str">
        <f t="shared" si="7"/>
        <v/>
      </c>
      <c r="AR102" s="89">
        <f>IFERROR(VLOOKUP(A102,Climatologia!A:U,9+$E$2,FALSE),"")</f>
        <v>11.715023289568339</v>
      </c>
      <c r="AS102" s="89" t="str">
        <f t="shared" si="8"/>
        <v/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>
        <v>2.4</v>
      </c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2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2.4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2.1999999999999997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>
        <v>10.4</v>
      </c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11</v>
      </c>
      <c r="AQ104" s="89" t="str">
        <f t="shared" si="7"/>
        <v/>
      </c>
      <c r="AR104" s="89">
        <f>IFERROR(VLOOKUP(A104,Climatologia!A:U,9+$E$2,FALSE),"")</f>
        <v>7.5536967000370803</v>
      </c>
      <c r="AS104" s="89" t="str">
        <f t="shared" si="8"/>
        <v/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>
        <v>12.2</v>
      </c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11</v>
      </c>
      <c r="AQ105" s="89" t="str">
        <f t="shared" si="7"/>
        <v/>
      </c>
      <c r="AR105" s="89">
        <f>IFERROR(VLOOKUP(A105,Climatologia!A:U,9+$E$2,FALSE),"")</f>
        <v>9.9926318635871958</v>
      </c>
      <c r="AS105" s="89" t="str">
        <f t="shared" si="8"/>
        <v/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>
        <v>15.6</v>
      </c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11</v>
      </c>
      <c r="AQ106" s="89" t="str">
        <f t="shared" si="7"/>
        <v/>
      </c>
      <c r="AR106" s="89">
        <f>IFERROR(VLOOKUP(A106,Climatologia!A:U,9+$E$2,FALSE),"")</f>
        <v>13.92075025890837</v>
      </c>
      <c r="AS106" s="89" t="str">
        <f t="shared" si="8"/>
        <v/>
      </c>
      <c r="AT106" s="90">
        <f t="shared" si="9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4.5999999999999996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>
        <v>13.8</v>
      </c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11</v>
      </c>
      <c r="AQ107" s="89" t="str">
        <f t="shared" si="7"/>
        <v/>
      </c>
      <c r="AR107" s="89">
        <f>IFERROR(VLOOKUP(A107,Climatologia!A:U,9+$E$2,FALSE),"")</f>
        <v>11.517299361072149</v>
      </c>
      <c r="AS107" s="89" t="str">
        <f t="shared" si="8"/>
        <v/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4.0000000000000009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>
        <v>15.8</v>
      </c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11</v>
      </c>
      <c r="AQ108" s="89" t="str">
        <f t="shared" si="7"/>
        <v/>
      </c>
      <c r="AR108" s="89">
        <f>IFERROR(VLOOKUP(A108,Climatologia!A:U,9+$E$2,FALSE),"")</f>
        <v>13.78207885304659</v>
      </c>
      <c r="AS108" s="89" t="str">
        <f t="shared" si="8"/>
        <v/>
      </c>
      <c r="AT108" s="90">
        <f t="shared" si="9"/>
        <v>13.8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4.2000000000000011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>
        <v>16.600000000000001</v>
      </c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11</v>
      </c>
      <c r="AQ109" s="89" t="str">
        <f t="shared" si="7"/>
        <v/>
      </c>
      <c r="AR109" s="89">
        <f>IFERROR(VLOOKUP(A109,Climatologia!A:U,9+$E$2,FALSE),"")</f>
        <v>13.919677419354841</v>
      </c>
      <c r="AS109" s="89" t="str">
        <f t="shared" si="8"/>
        <v/>
      </c>
      <c r="AT109" s="90">
        <f t="shared" si="9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6.6999999999999993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>
        <v>18.600000000000001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11</v>
      </c>
      <c r="AQ110" s="89" t="str">
        <f t="shared" si="7"/>
        <v/>
      </c>
      <c r="AR110" s="89">
        <f>IFERROR(VLOOKUP(A110,Climatologia!A:U,9+$E$2,FALSE),"")</f>
        <v>17.274538789776361</v>
      </c>
      <c r="AS110" s="89" t="str">
        <f t="shared" si="8"/>
        <v/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3.4000000000000021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>
        <v>23.8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11</v>
      </c>
      <c r="AQ111" s="89" t="str">
        <f t="shared" si="7"/>
        <v/>
      </c>
      <c r="AR111" s="89">
        <f>IFERROR(VLOOKUP(A111,Climatologia!A:U,9+$E$2,FALSE),"")</f>
        <v>23.10008713385243</v>
      </c>
      <c r="AS111" s="89" t="str">
        <f t="shared" si="8"/>
        <v/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>
        <v>14.6</v>
      </c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11</v>
      </c>
      <c r="AQ112" s="89" t="str">
        <f t="shared" si="7"/>
        <v/>
      </c>
      <c r="AR112" s="89">
        <f>IFERROR(VLOOKUP(A112,Climatologia!A:U,9+$E$2,FALSE),"")</f>
        <v>15.316224611708479</v>
      </c>
      <c r="AS112" s="89" t="str">
        <f t="shared" si="8"/>
        <v/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4.1999999999999993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>
        <v>19</v>
      </c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11</v>
      </c>
      <c r="AQ113" s="89" t="str">
        <f t="shared" si="7"/>
        <v/>
      </c>
      <c r="AR113" s="89">
        <f>IFERROR(VLOOKUP(A113,Climatologia!A:U,9+$E$2,FALSE),"")</f>
        <v>22.73194743130227</v>
      </c>
      <c r="AS113" s="89" t="str">
        <f t="shared" si="8"/>
        <v/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>
        <v>23</v>
      </c>
      <c r="U114" s="51">
        <v>22</v>
      </c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11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>
        <v>20.2</v>
      </c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10</v>
      </c>
      <c r="AQ115" s="89" t="str">
        <f t="shared" si="7"/>
        <v/>
      </c>
      <c r="AR115" s="89">
        <f>IFERROR(VLOOKUP(A115,Climatologia!A:U,9+$E$2,FALSE),"")</f>
        <v>18.75583446627941</v>
      </c>
      <c r="AS115" s="89" t="str">
        <f t="shared" si="8"/>
        <v/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6</v>
      </c>
      <c r="AQ116" s="89" t="str">
        <f t="shared" si="7"/>
        <v/>
      </c>
      <c r="AR116" s="89">
        <f>IFERROR(VLOOKUP(A116,Climatologia!A:U,9+$E$2,FALSE),"")</f>
        <v>22.6328308967636</v>
      </c>
      <c r="AS116" s="89" t="str">
        <f t="shared" si="8"/>
        <v/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51">
        <v>3.4</v>
      </c>
      <c r="R118" s="51">
        <v>4.4000000000000004</v>
      </c>
      <c r="S118" s="51">
        <v>5.8</v>
      </c>
      <c r="T118" s="51">
        <v>7.6</v>
      </c>
      <c r="U118" s="51">
        <v>4.8</v>
      </c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11</v>
      </c>
      <c r="AQ118" s="89" t="str">
        <f t="shared" si="7"/>
        <v/>
      </c>
      <c r="AR118" s="89">
        <f>IFERROR(VLOOKUP(A118,Climatologia!A:U,9+$E$2,FALSE),"")</f>
        <v>5.5130888465137637</v>
      </c>
      <c r="AS118" s="89" t="str">
        <f t="shared" si="8"/>
        <v/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>
        <v>13.6</v>
      </c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11</v>
      </c>
      <c r="AQ120" s="89" t="str">
        <f t="shared" si="7"/>
        <v/>
      </c>
      <c r="AR120" s="89">
        <f>IFERROR(VLOOKUP(A120,Climatologia!A:U,9+$E$2,FALSE),"")</f>
        <v>11.26360659992584</v>
      </c>
      <c r="AS120" s="89" t="str">
        <f t="shared" si="8"/>
        <v/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>
        <v>8</v>
      </c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11</v>
      </c>
      <c r="AQ122" s="89" t="str">
        <f t="shared" si="7"/>
        <v/>
      </c>
      <c r="AR122" s="89">
        <f>IFERROR(VLOOKUP(A122,Climatologia!A:U,9+$E$2,FALSE),"")</f>
        <v>7.9500742094390597</v>
      </c>
      <c r="AS122" s="89" t="str">
        <f t="shared" si="8"/>
        <v/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>
        <v>23</v>
      </c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5.5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>
        <v>12.2</v>
      </c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11</v>
      </c>
      <c r="AQ125" s="89" t="str">
        <f t="shared" si="7"/>
        <v/>
      </c>
      <c r="AR125" s="89">
        <f>IFERROR(VLOOKUP(A125,Climatologia!A:U,9+$E$2,FALSE),"")</f>
        <v>11.11451612903226</v>
      </c>
      <c r="AS125" s="89" t="str">
        <f t="shared" si="8"/>
        <v/>
      </c>
      <c r="AT125" s="90">
        <f t="shared" si="9"/>
        <v>11.5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6.5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>
        <v>13.8</v>
      </c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11</v>
      </c>
      <c r="AQ126" s="89" t="str">
        <f t="shared" si="7"/>
        <v/>
      </c>
      <c r="AR126" s="89">
        <f>IFERROR(VLOOKUP(A126,Climatologia!A:U,9+$E$2,FALSE),"")</f>
        <v>12.9298129284317</v>
      </c>
      <c r="AS126" s="89" t="str">
        <f t="shared" si="8"/>
        <v/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>
        <v>8.6</v>
      </c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11</v>
      </c>
      <c r="AQ128" s="89" t="str">
        <f t="shared" si="7"/>
        <v/>
      </c>
      <c r="AR128" s="89">
        <f>IFERROR(VLOOKUP(A128,Climatologia!A:U,9+$E$2,FALSE),"")</f>
        <v>9.2558272611498413</v>
      </c>
      <c r="AS128" s="89" t="str">
        <f t="shared" si="8"/>
        <v/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>
        <v>11.8</v>
      </c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11</v>
      </c>
      <c r="AQ129" s="89" t="str">
        <f t="shared" si="7"/>
        <v/>
      </c>
      <c r="AR129" s="89">
        <f>IFERROR(VLOOKUP(A129,Climatologia!A:U,9+$E$2,FALSE),"")</f>
        <v>11.24803033794163</v>
      </c>
      <c r="AS129" s="89" t="str">
        <f t="shared" si="8"/>
        <v/>
      </c>
      <c r="AT129" s="90">
        <f t="shared" si="9"/>
        <v>11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3.8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>
        <v>15.2</v>
      </c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11</v>
      </c>
      <c r="AQ130" s="89" t="str">
        <f t="shared" si="7"/>
        <v/>
      </c>
      <c r="AR130" s="89">
        <f>IFERROR(VLOOKUP(A130,Climatologia!A:U,9+$E$2,FALSE),"")</f>
        <v>14.52971408070499</v>
      </c>
      <c r="AS130" s="89" t="str">
        <f t="shared" si="8"/>
        <v/>
      </c>
      <c r="AT130" s="90">
        <f t="shared" si="9"/>
        <v>15.2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5.1999999999999993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51">
        <v>3.2</v>
      </c>
      <c r="P131" s="51">
        <v>4.5999999999999996</v>
      </c>
      <c r="Q131" s="51">
        <v>5.2</v>
      </c>
      <c r="R131" s="51">
        <v>6</v>
      </c>
      <c r="S131" s="51">
        <v>6.2</v>
      </c>
      <c r="T131" s="51">
        <v>5.8</v>
      </c>
      <c r="U131" s="51">
        <v>6</v>
      </c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11</v>
      </c>
      <c r="AQ131" s="89" t="str">
        <f t="shared" si="7"/>
        <v/>
      </c>
      <c r="AR131" s="89">
        <f>IFERROR(VLOOKUP(A131,Climatologia!A:U,9+$E$2,FALSE),"")</f>
        <v>6.3434940056853293</v>
      </c>
      <c r="AS131" s="89" t="str">
        <f t="shared" si="8"/>
        <v/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>
        <v>15.8</v>
      </c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11</v>
      </c>
      <c r="AQ133" s="89" t="str">
        <f t="shared" ref="AQ133:AQ196" si="12">IF(AP133&gt;14,AVERAGE(K133:AO133),"")</f>
        <v/>
      </c>
      <c r="AR133" s="89">
        <f>IFERROR(VLOOKUP(A133,Climatologia!A:U,9+$E$2,FALSE),"")</f>
        <v>14.56684579289888</v>
      </c>
      <c r="AS133" s="89" t="str">
        <f t="shared" ref="AS133:AS196" si="13">IF(OR(AQ133="",AR133=""),"",IFERROR(AQ133-AR133,""))</f>
        <v/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>
        <v>11</v>
      </c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11</v>
      </c>
      <c r="AQ134" s="89" t="str">
        <f t="shared" si="12"/>
        <v/>
      </c>
      <c r="AR134" s="89">
        <f>IFERROR(VLOOKUP(A134,Climatologia!A:U,9+$E$2,FALSE),"")</f>
        <v>9.466164462571582</v>
      </c>
      <c r="AS134" s="89" t="str">
        <f t="shared" si="13"/>
        <v/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>
        <v>12.6</v>
      </c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11</v>
      </c>
      <c r="AQ135" s="89" t="str">
        <f t="shared" si="12"/>
        <v/>
      </c>
      <c r="AR135" s="89">
        <f>IFERROR(VLOOKUP(A135,Climatologia!A:U,9+$E$2,FALSE),"")</f>
        <v>12.27814052651094</v>
      </c>
      <c r="AS135" s="89" t="str">
        <f t="shared" si="13"/>
        <v/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>
        <v>7.8</v>
      </c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11</v>
      </c>
      <c r="AQ136" s="89" t="str">
        <f t="shared" si="12"/>
        <v/>
      </c>
      <c r="AR136" s="89">
        <f>IFERROR(VLOOKUP(A136,Climatologia!A:U,9+$E$2,FALSE),"")</f>
        <v>8.6618439174147142</v>
      </c>
      <c r="AS136" s="89" t="str">
        <f t="shared" si="13"/>
        <v/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>
        <v>7</v>
      </c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11</v>
      </c>
      <c r="AQ137" s="89" t="str">
        <f t="shared" si="12"/>
        <v/>
      </c>
      <c r="AR137" s="89">
        <f>IFERROR(VLOOKUP(A137,Climatologia!A:U,9+$E$2,FALSE),"")</f>
        <v>7.0970860215053753</v>
      </c>
      <c r="AS137" s="89" t="str">
        <f t="shared" si="13"/>
        <v/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10</v>
      </c>
      <c r="AQ138" s="89" t="str">
        <f t="shared" si="12"/>
        <v/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10</v>
      </c>
      <c r="AQ139" s="89" t="str">
        <f t="shared" si="12"/>
        <v/>
      </c>
      <c r="AR139" s="89">
        <f>IFERROR(VLOOKUP(A139,Climatologia!A:U,9+$E$2,FALSE),"")</f>
        <v>10.525168743244009</v>
      </c>
      <c r="AS139" s="89" t="str">
        <f t="shared" si="13"/>
        <v/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>
        <v>14.6</v>
      </c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11</v>
      </c>
      <c r="AQ140" s="89" t="str">
        <f t="shared" si="12"/>
        <v/>
      </c>
      <c r="AR140" s="89">
        <f>IFERROR(VLOOKUP(A140,Climatologia!A:U,9+$E$2,FALSE),"")</f>
        <v>14.800063060877999</v>
      </c>
      <c r="AS140" s="89" t="str">
        <f t="shared" si="13"/>
        <v/>
      </c>
      <c r="AT140" s="90">
        <f t="shared" si="14"/>
        <v>14.6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2.4000000000000004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>
        <v>22.8</v>
      </c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11</v>
      </c>
      <c r="AQ141" s="89" t="str">
        <f t="shared" si="12"/>
        <v/>
      </c>
      <c r="AR141" s="89">
        <f>IFERROR(VLOOKUP(A141,Climatologia!A:U,9+$E$2,FALSE),"")</f>
        <v>22.12848759157685</v>
      </c>
      <c r="AS141" s="89" t="str">
        <f t="shared" si="13"/>
        <v/>
      </c>
      <c r="AT141" s="90">
        <f t="shared" si="14"/>
        <v>22.8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4.8000000000000007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>
        <v>20.399999999999999</v>
      </c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11</v>
      </c>
      <c r="AQ142" s="89" t="str">
        <f t="shared" si="12"/>
        <v/>
      </c>
      <c r="AR142" s="89">
        <f>IFERROR(VLOOKUP(A142,Climatologia!A:U,9+$E$2,FALSE),"")</f>
        <v>19.11373954599761</v>
      </c>
      <c r="AS142" s="89" t="str">
        <f t="shared" si="13"/>
        <v/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>
        <v>24.4</v>
      </c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11</v>
      </c>
      <c r="AQ143" s="89" t="str">
        <f t="shared" si="12"/>
        <v/>
      </c>
      <c r="AR143" s="89">
        <f>IFERROR(VLOOKUP(A143,Climatologia!A:U,9+$E$2,FALSE),"")</f>
        <v>22.94815099178793</v>
      </c>
      <c r="AS143" s="89" t="str">
        <f t="shared" si="13"/>
        <v/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10</v>
      </c>
      <c r="AQ145" s="89" t="str">
        <f t="shared" si="12"/>
        <v/>
      </c>
      <c r="AR145" s="89">
        <f>IFERROR(VLOOKUP(A145,Climatologia!A:U,9+$E$2,FALSE),"")</f>
        <v>14.63204108553664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5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>
        <v>16</v>
      </c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11</v>
      </c>
      <c r="AQ146" s="89" t="str">
        <f t="shared" si="12"/>
        <v/>
      </c>
      <c r="AR146" s="89">
        <f>IFERROR(VLOOKUP(A146,Climatologia!A:U,9+$E$2,FALSE),"")</f>
        <v>14.80509666173506</v>
      </c>
      <c r="AS146" s="89" t="str">
        <f t="shared" si="13"/>
        <v/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>
        <v>23.8</v>
      </c>
      <c r="U149" s="51">
        <v>24</v>
      </c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9</v>
      </c>
      <c r="AQ149" s="89" t="str">
        <f t="shared" si="12"/>
        <v/>
      </c>
      <c r="AR149" s="89">
        <f>IFERROR(VLOOKUP(A149,Climatologia!A:U,9+$E$2,FALSE),"")</f>
        <v>22.312207891190091</v>
      </c>
      <c r="AS149" s="89" t="str">
        <f t="shared" si="13"/>
        <v/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3.5999999999999979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>
        <v>22.4</v>
      </c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9</v>
      </c>
      <c r="AQ150" s="89" t="str">
        <f t="shared" si="12"/>
        <v/>
      </c>
      <c r="AR150" s="89">
        <f>IFERROR(VLOOKUP(A150,Climatologia!A:U,9+$E$2,FALSE),"")</f>
        <v>23.339207300546029</v>
      </c>
      <c r="AS150" s="89" t="str">
        <f t="shared" si="13"/>
        <v/>
      </c>
      <c r="AT150" s="90">
        <f t="shared" si="14"/>
        <v>22.4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5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>
        <v>14.4</v>
      </c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11</v>
      </c>
      <c r="AQ151" s="89" t="str">
        <f t="shared" si="12"/>
        <v/>
      </c>
      <c r="AR151" s="89">
        <f>IFERROR(VLOOKUP(A151,Climatologia!A:U,9+$E$2,FALSE),"")</f>
        <v>14.24439000870591</v>
      </c>
      <c r="AS151" s="89" t="str">
        <f t="shared" si="13"/>
        <v/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10</v>
      </c>
      <c r="AQ152" s="89" t="str">
        <f t="shared" si="12"/>
        <v/>
      </c>
      <c r="AR152" s="89">
        <f>IFERROR(VLOOKUP(A152,Climatologia!A:U,9+$E$2,FALSE),"")</f>
        <v>19.542778238672231</v>
      </c>
      <c r="AS152" s="89" t="str">
        <f t="shared" si="13"/>
        <v/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>
        <v>16.8</v>
      </c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11</v>
      </c>
      <c r="AQ153" s="89" t="str">
        <f t="shared" si="12"/>
        <v/>
      </c>
      <c r="AR153" s="89">
        <f>IFERROR(VLOOKUP(A153,Climatologia!A:U,9+$E$2,FALSE),"")</f>
        <v>15.728565284178179</v>
      </c>
      <c r="AS153" s="89" t="str">
        <f t="shared" si="13"/>
        <v/>
      </c>
      <c r="AT153" s="90">
        <f t="shared" si="14"/>
        <v>16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4.8000000000000007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>
        <v>19.2</v>
      </c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11</v>
      </c>
      <c r="AQ154" s="89" t="str">
        <f t="shared" si="12"/>
        <v/>
      </c>
      <c r="AR154" s="89">
        <f>IFERROR(VLOOKUP(A154,Climatologia!A:U,9+$E$2,FALSE),"")</f>
        <v>18.26652751734732</v>
      </c>
      <c r="AS154" s="89" t="str">
        <f t="shared" si="13"/>
        <v/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>
        <v>9</v>
      </c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11</v>
      </c>
      <c r="AQ156" s="89" t="str">
        <f t="shared" si="12"/>
        <v/>
      </c>
      <c r="AR156" s="89">
        <f>IFERROR(VLOOKUP(A156,Climatologia!A:U,9+$E$2,FALSE),"")</f>
        <v>8.804193548387099</v>
      </c>
      <c r="AS156" s="89" t="str">
        <f t="shared" si="13"/>
        <v/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>
        <v>14.4</v>
      </c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11</v>
      </c>
      <c r="AQ157" s="89" t="str">
        <f t="shared" si="12"/>
        <v/>
      </c>
      <c r="AR157" s="89">
        <f>IFERROR(VLOOKUP(A157,Climatologia!A:U,9+$E$2,FALSE),"")</f>
        <v>14.13311294030404</v>
      </c>
      <c r="AS157" s="89" t="str">
        <f t="shared" si="13"/>
        <v/>
      </c>
      <c r="AT157" s="90">
        <f t="shared" si="14"/>
        <v>14.2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4.1999999999999993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>
        <v>22</v>
      </c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11</v>
      </c>
      <c r="AQ158" s="89" t="str">
        <f t="shared" si="12"/>
        <v/>
      </c>
      <c r="AR158" s="89">
        <f>IFERROR(VLOOKUP(A158,Climatologia!A:U,9+$E$2,FALSE),"")</f>
        <v>19.916117241095179</v>
      </c>
      <c r="AS158" s="89" t="str">
        <f t="shared" si="13"/>
        <v/>
      </c>
      <c r="AT158" s="90">
        <f t="shared" si="14"/>
        <v>20.6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4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51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51">
        <v>4.5999999999999996</v>
      </c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11</v>
      </c>
      <c r="AQ159" s="89" t="str">
        <f t="shared" si="12"/>
        <v/>
      </c>
      <c r="AR159" s="89">
        <f>IFERROR(VLOOKUP(A159,Climatologia!A:U,9+$E$2,FALSE),"")</f>
        <v>5.3538730472619971</v>
      </c>
      <c r="AS159" s="89" t="str">
        <f t="shared" si="13"/>
        <v/>
      </c>
      <c r="AT159" s="90">
        <f t="shared" si="14"/>
        <v>4.5999999999999996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6.6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>
        <v>22.2</v>
      </c>
      <c r="U160" s="51">
        <v>21.6</v>
      </c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11</v>
      </c>
      <c r="AQ160" s="89" t="str">
        <f t="shared" si="12"/>
        <v/>
      </c>
      <c r="AR160" s="89">
        <f>IFERROR(VLOOKUP(A160,Climatologia!A:U,9+$E$2,FALSE),"")</f>
        <v>20.796531676004431</v>
      </c>
      <c r="AS160" s="89" t="str">
        <f t="shared" si="13"/>
        <v/>
      </c>
      <c r="AT160" s="90">
        <f t="shared" si="14"/>
        <v>21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5.1999999999999993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10</v>
      </c>
      <c r="AQ161" s="89" t="str">
        <f t="shared" si="12"/>
        <v/>
      </c>
      <c r="AR161" s="89">
        <f>IFERROR(VLOOKUP(A161,Climatologia!A:U,9+$E$2,FALSE),"")</f>
        <v>13.775271381572029</v>
      </c>
      <c r="AS161" s="89" t="str">
        <f t="shared" si="13"/>
        <v/>
      </c>
      <c r="AT161" s="90">
        <f t="shared" si="14"/>
        <v>13.4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3.4000000000000004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>
        <v>18.600000000000001</v>
      </c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11</v>
      </c>
      <c r="AQ162" s="89" t="str">
        <f t="shared" si="12"/>
        <v/>
      </c>
      <c r="AR162" s="89">
        <f>IFERROR(VLOOKUP(A162,Climatologia!A:U,9+$E$2,FALSE),"")</f>
        <v>18.138279569892479</v>
      </c>
      <c r="AS162" s="89" t="str">
        <f t="shared" si="13"/>
        <v/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>
        <v>18.600000000000001</v>
      </c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11</v>
      </c>
      <c r="AQ163" s="89" t="str">
        <f t="shared" si="12"/>
        <v/>
      </c>
      <c r="AR163" s="89">
        <f>IFERROR(VLOOKUP(A163,Climatologia!A:U,9+$E$2,FALSE),"")</f>
        <v>19.20511663753377</v>
      </c>
      <c r="AS163" s="89" t="str">
        <f t="shared" si="13"/>
        <v/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>
        <v>18.2</v>
      </c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11</v>
      </c>
      <c r="AQ165" s="89" t="str">
        <f t="shared" si="12"/>
        <v/>
      </c>
      <c r="AR165" s="89">
        <f>IFERROR(VLOOKUP(A165,Climatologia!A:U,9+$E$2,FALSE),"")</f>
        <v>17.76960295060843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5.1999999999999993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>
        <v>19.600000000000001</v>
      </c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11</v>
      </c>
      <c r="AQ168" s="89" t="str">
        <f t="shared" si="12"/>
        <v/>
      </c>
      <c r="AR168" s="89">
        <f>IFERROR(VLOOKUP(A168,Climatologia!A:U,9+$E$2,FALSE),"")</f>
        <v>19.143790433205009</v>
      </c>
      <c r="AS168" s="89" t="str">
        <f t="shared" si="13"/>
        <v/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>
        <v>14.2</v>
      </c>
      <c r="U169" s="51">
        <v>14</v>
      </c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11</v>
      </c>
      <c r="AQ169" s="89" t="str">
        <f t="shared" si="12"/>
        <v/>
      </c>
      <c r="AR169" s="89">
        <f>IFERROR(VLOOKUP(A169,Climatologia!A:U,9+$E$2,FALSE),"")</f>
        <v>13.77605041757155</v>
      </c>
      <c r="AS169" s="89" t="str">
        <f t="shared" si="13"/>
        <v/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10</v>
      </c>
      <c r="AQ171" s="89" t="str">
        <f t="shared" si="12"/>
        <v/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>
        <v>21.4</v>
      </c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11</v>
      </c>
      <c r="AQ174" s="89" t="str">
        <f t="shared" si="12"/>
        <v/>
      </c>
      <c r="AR174" s="89">
        <f>IFERROR(VLOOKUP(A174,Climatologia!A:U,9+$E$2,FALSE),"")</f>
        <v>20.974954671150471</v>
      </c>
      <c r="AS174" s="89" t="str">
        <f t="shared" si="13"/>
        <v/>
      </c>
      <c r="AT174" s="90">
        <f t="shared" si="14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3.8000000000000007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>
        <v>22.6</v>
      </c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11</v>
      </c>
      <c r="AQ175" s="89" t="str">
        <f t="shared" si="12"/>
        <v/>
      </c>
      <c r="AR175" s="89">
        <f>IFERROR(VLOOKUP(A175,Climatologia!A:U,9+$E$2,FALSE),"")</f>
        <v>21.443565454855779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>
        <v>13.4</v>
      </c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11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>
        <v>23.4</v>
      </c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11</v>
      </c>
      <c r="AQ179" s="89" t="str">
        <f t="shared" si="12"/>
        <v/>
      </c>
      <c r="AR179" s="89">
        <f>IFERROR(VLOOKUP(A179,Climatologia!A:U,9+$E$2,FALSE),"")</f>
        <v>22.710286109345489</v>
      </c>
      <c r="AS179" s="89" t="str">
        <f t="shared" si="13"/>
        <v/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>
        <v>22.2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11</v>
      </c>
      <c r="AQ180" s="89" t="str">
        <f t="shared" si="12"/>
        <v/>
      </c>
      <c r="AR180" s="89">
        <f>IFERROR(VLOOKUP(A180,Climatologia!A:U,9+$E$2,FALSE),"")</f>
        <v>21.63285896979399</v>
      </c>
      <c r="AS180" s="89" t="str">
        <f t="shared" si="13"/>
        <v/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>
        <v>13.4</v>
      </c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11</v>
      </c>
      <c r="AQ181" s="89" t="str">
        <f t="shared" si="12"/>
        <v/>
      </c>
      <c r="AR181" s="89">
        <f>IFERROR(VLOOKUP(A181,Climatologia!A:U,9+$E$2,FALSE),"")</f>
        <v>14.304930663700411</v>
      </c>
      <c r="AS181" s="89" t="str">
        <f t="shared" si="13"/>
        <v/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>
        <v>18.600000000000001</v>
      </c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11</v>
      </c>
      <c r="AQ182" s="89" t="str">
        <f t="shared" si="12"/>
        <v/>
      </c>
      <c r="AR182" s="89">
        <f>IFERROR(VLOOKUP(A182,Climatologia!A:U,9+$E$2,FALSE),"")</f>
        <v>19.549499730100031</v>
      </c>
      <c r="AS182" s="89" t="str">
        <f t="shared" si="13"/>
        <v/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</v>
      </c>
      <c r="L183" s="51">
        <v>21.6</v>
      </c>
      <c r="M183" s="51">
        <v>21.6</v>
      </c>
      <c r="N183" s="51"/>
      <c r="O183" s="51">
        <v>20.8</v>
      </c>
      <c r="P183" s="51">
        <v>20.8</v>
      </c>
      <c r="Q183" s="51">
        <v>20.8</v>
      </c>
      <c r="R183" s="51">
        <v>21.6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7</v>
      </c>
      <c r="AQ183" s="89" t="str">
        <f t="shared" si="12"/>
        <v/>
      </c>
      <c r="AR183" s="89">
        <f>IFERROR(VLOOKUP(A183,Climatologia!A:U,9+$E$2,FALSE),"")</f>
        <v>20.178595388173811</v>
      </c>
      <c r="AS183" s="89" t="str">
        <f t="shared" si="13"/>
        <v/>
      </c>
      <c r="AT183" s="90">
        <f t="shared" si="14"/>
        <v>20.8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3.4000000000000021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>
        <v>16.399999999999999</v>
      </c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11</v>
      </c>
      <c r="AQ184" s="89" t="str">
        <f t="shared" si="12"/>
        <v/>
      </c>
      <c r="AR184" s="89">
        <f>IFERROR(VLOOKUP(A184,Climatologia!A:U,9+$E$2,FALSE),"")</f>
        <v>16.70182893940402</v>
      </c>
      <c r="AS184" s="89" t="str">
        <f t="shared" si="13"/>
        <v/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>
        <v>20.6</v>
      </c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11</v>
      </c>
      <c r="AQ185" s="89" t="str">
        <f t="shared" si="12"/>
        <v/>
      </c>
      <c r="AR185" s="89">
        <f>IFERROR(VLOOKUP(A185,Climatologia!A:U,9+$E$2,FALSE),"")</f>
        <v>20.093982864558509</v>
      </c>
      <c r="AS185" s="89" t="str">
        <f t="shared" si="13"/>
        <v/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3.8000000000000007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>
        <v>17.2</v>
      </c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11</v>
      </c>
      <c r="AQ186" s="89" t="str">
        <f t="shared" si="12"/>
        <v/>
      </c>
      <c r="AR186" s="89">
        <f>IFERROR(VLOOKUP(A186,Climatologia!A:U,9+$E$2,FALSE),"")</f>
        <v>16.635234657718009</v>
      </c>
      <c r="AS186" s="89" t="str">
        <f t="shared" si="13"/>
        <v/>
      </c>
      <c r="AT186" s="90">
        <f t="shared" si="14"/>
        <v>16.600000000000001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2.6000000000000014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>
        <v>20.6</v>
      </c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11</v>
      </c>
      <c r="AQ187" s="89" t="str">
        <f t="shared" si="12"/>
        <v/>
      </c>
      <c r="AR187" s="89">
        <f>IFERROR(VLOOKUP(A187,Climatologia!A:U,9+$E$2,FALSE),"")</f>
        <v>19.946410713663219</v>
      </c>
      <c r="AS187" s="89" t="str">
        <f t="shared" si="13"/>
        <v/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>
        <v>17.8</v>
      </c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11</v>
      </c>
      <c r="AQ188" s="89" t="str">
        <f t="shared" si="12"/>
        <v/>
      </c>
      <c r="AR188" s="89">
        <f>IFERROR(VLOOKUP(A188,Climatologia!A:U,9+$E$2,FALSE),"")</f>
        <v>15.62534760845384</v>
      </c>
      <c r="AS188" s="89" t="str">
        <f t="shared" si="13"/>
        <v/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>
        <v>11.6</v>
      </c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11</v>
      </c>
      <c r="AQ189" s="89" t="str">
        <f t="shared" si="12"/>
        <v/>
      </c>
      <c r="AR189" s="89">
        <f>IFERROR(VLOOKUP(A189,Climatologia!A:U,9+$E$2,FALSE),"")</f>
        <v>11.118537209889681</v>
      </c>
      <c r="AS189" s="89" t="str">
        <f t="shared" si="13"/>
        <v/>
      </c>
      <c r="AT189" s="90">
        <f t="shared" si="14"/>
        <v>11.6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>
        <v>9.6</v>
      </c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11</v>
      </c>
      <c r="AQ190" s="89" t="str">
        <f t="shared" si="12"/>
        <v/>
      </c>
      <c r="AR190" s="89">
        <f>IFERROR(VLOOKUP(A190,Climatologia!A:U,9+$E$2,FALSE),"")</f>
        <v>7.1266058845780744</v>
      </c>
      <c r="AS190" s="89" t="str">
        <f t="shared" si="13"/>
        <v/>
      </c>
      <c r="AT190" s="90">
        <f t="shared" si="14"/>
        <v>6.8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7.5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9</v>
      </c>
      <c r="AQ191" s="89" t="str">
        <f t="shared" si="12"/>
        <v/>
      </c>
      <c r="AR191" s="89">
        <f>IFERROR(VLOOKUP(A191,Climatologia!A:U,9+$E$2,FALSE),"")</f>
        <v>19.90889044807621</v>
      </c>
      <c r="AS191" s="89" t="str">
        <f t="shared" si="13"/>
        <v/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>
        <v>10.6</v>
      </c>
      <c r="U192" s="51">
        <v>10.199999999999999</v>
      </c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11</v>
      </c>
      <c r="AQ192" s="89" t="str">
        <f t="shared" si="12"/>
        <v/>
      </c>
      <c r="AR192" s="89">
        <f>IFERROR(VLOOKUP(A192,Climatologia!A:U,9+$E$2,FALSE),"")</f>
        <v>7.4093001151404936</v>
      </c>
      <c r="AS192" s="89" t="str">
        <f t="shared" si="13"/>
        <v/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6.6999999999999993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>
        <v>10</v>
      </c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10</v>
      </c>
      <c r="AQ193" s="89" t="str">
        <f t="shared" si="12"/>
        <v/>
      </c>
      <c r="AR193" s="89">
        <f>IFERROR(VLOOKUP(A193,Climatologia!A:U,9+$E$2,FALSE),"")</f>
        <v>7.4165936534420949</v>
      </c>
      <c r="AS193" s="89" t="str">
        <f t="shared" si="13"/>
        <v/>
      </c>
      <c r="AT193" s="90">
        <f t="shared" si="14"/>
        <v>6.6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5.3999999999999995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>
        <v>5.8</v>
      </c>
      <c r="T195" s="51">
        <v>5.2</v>
      </c>
      <c r="U195" s="51">
        <v>6.4</v>
      </c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11</v>
      </c>
      <c r="AQ195" s="89" t="str">
        <f t="shared" si="12"/>
        <v/>
      </c>
      <c r="AR195" s="89">
        <f>IFERROR(VLOOKUP(A195,Climatologia!A:U,9+$E$2,FALSE),"")</f>
        <v>7.2134675716782812</v>
      </c>
      <c r="AS195" s="89" t="str">
        <f t="shared" si="13"/>
        <v/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>
        <v>11</v>
      </c>
      <c r="U196" s="51">
        <v>11.4</v>
      </c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11</v>
      </c>
      <c r="AQ196" s="89" t="str">
        <f t="shared" si="12"/>
        <v/>
      </c>
      <c r="AR196" s="89">
        <f>IFERROR(VLOOKUP(A196,Climatologia!A:U,9+$E$2,FALSE),"")</f>
        <v>6.929651069775745</v>
      </c>
      <c r="AS196" s="89" t="str">
        <f t="shared" si="13"/>
        <v/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>
        <v>8.4</v>
      </c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11</v>
      </c>
      <c r="AQ197" s="89" t="str">
        <f t="shared" ref="AQ197:AQ260" si="17">IF(AP197&gt;14,AVERAGE(K197:AO197),"")</f>
        <v/>
      </c>
      <c r="AR197" s="89">
        <f>IFERROR(VLOOKUP(A197,Climatologia!A:U,9+$E$2,FALSE),"")</f>
        <v>6.916340586625946</v>
      </c>
      <c r="AS197" s="89" t="str">
        <f t="shared" ref="AS197:AS260" si="18">IF(OR(AQ197="",AR197=""),"",IFERROR(AQ197-AR197,""))</f>
        <v/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4.8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>
        <v>11.8</v>
      </c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11</v>
      </c>
      <c r="AQ198" s="89" t="str">
        <f t="shared" si="17"/>
        <v/>
      </c>
      <c r="AR198" s="89">
        <f>IFERROR(VLOOKUP(A198,Climatologia!A:U,9+$E$2,FALSE),"")</f>
        <v>7.5461399546429204</v>
      </c>
      <c r="AS198" s="89" t="str">
        <f t="shared" si="18"/>
        <v/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10</v>
      </c>
      <c r="AQ199" s="89" t="str">
        <f t="shared" si="17"/>
        <v/>
      </c>
      <c r="AR199" s="89">
        <f>IFERROR(VLOOKUP(A199,Climatologia!A:U,9+$E$2,FALSE),"")</f>
        <v>7.2154494623655934</v>
      </c>
      <c r="AS199" s="89" t="str">
        <f t="shared" si="18"/>
        <v/>
      </c>
      <c r="AT199" s="90">
        <f t="shared" si="19"/>
        <v>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8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0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9</v>
      </c>
      <c r="AQ200" s="89" t="str">
        <f t="shared" si="17"/>
        <v/>
      </c>
      <c r="AR200" s="89">
        <f>IFERROR(VLOOKUP(A200,Climatologia!A:U,9+$E$2,FALSE),"")</f>
        <v>7.0053853956985552</v>
      </c>
      <c r="AS200" s="89" t="str">
        <f t="shared" si="18"/>
        <v/>
      </c>
      <c r="AT200" s="90">
        <f t="shared" si="19"/>
        <v>0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0.6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7</v>
      </c>
      <c r="AQ201" s="89" t="str">
        <f t="shared" si="17"/>
        <v/>
      </c>
      <c r="AR201" s="89">
        <f>IFERROR(VLOOKUP(A201,Climatologia!A:U,9+$E$2,FALSE),"")</f>
        <v>7.3926764348381218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>
        <v>12</v>
      </c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11</v>
      </c>
      <c r="AQ202" s="89" t="str">
        <f t="shared" si="17"/>
        <v/>
      </c>
      <c r="AR202" s="89">
        <f>IFERROR(VLOOKUP(A202,Climatologia!A:U,9+$E$2,FALSE),"")</f>
        <v>8.0602777159807211</v>
      </c>
      <c r="AS202" s="89" t="str">
        <f t="shared" si="18"/>
        <v/>
      </c>
      <c r="AT202" s="90">
        <f t="shared" si="19"/>
        <v>7.6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6.6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51">
        <v>5</v>
      </c>
      <c r="T203" s="51">
        <v>5.6</v>
      </c>
      <c r="U203" s="51">
        <v>5.8</v>
      </c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11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4.8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9</v>
      </c>
      <c r="AQ205" s="89" t="str">
        <f t="shared" si="17"/>
        <v/>
      </c>
      <c r="AR205" s="89">
        <f>IFERROR(VLOOKUP(A205,Climatologia!A:U,9+$E$2,FALSE),"")</f>
        <v>9.3555941074127951</v>
      </c>
      <c r="AS205" s="89" t="str">
        <f t="shared" si="18"/>
        <v/>
      </c>
      <c r="AT205" s="90">
        <f t="shared" si="19"/>
        <v>10.4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9.2000000000000011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51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>
        <v>7</v>
      </c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11</v>
      </c>
      <c r="AQ206" s="89" t="str">
        <f t="shared" si="17"/>
        <v/>
      </c>
      <c r="AR206" s="89">
        <f>IFERROR(VLOOKUP(A206,Climatologia!A:U,9+$E$2,FALSE),"")</f>
        <v>5.0376216372100684</v>
      </c>
      <c r="AS206" s="89" t="str">
        <f t="shared" si="18"/>
        <v/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>
        <v>24</v>
      </c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10</v>
      </c>
      <c r="AQ207" s="89" t="str">
        <f t="shared" si="17"/>
        <v/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23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5.6000000000000014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2" t="s">
        <v>421</v>
      </c>
      <c r="X1" s="123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7" t="s">
        <v>847</v>
      </c>
      <c r="B1" s="127" t="s">
        <v>7</v>
      </c>
      <c r="C1" s="127" t="s">
        <v>10</v>
      </c>
      <c r="D1" s="127" t="s">
        <v>9</v>
      </c>
      <c r="E1" s="127" t="s">
        <v>11</v>
      </c>
      <c r="F1" s="127" t="s">
        <v>15</v>
      </c>
      <c r="G1" s="127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8"/>
      <c r="B2" s="128"/>
      <c r="C2" s="128"/>
      <c r="D2" s="128"/>
      <c r="E2" s="128"/>
      <c r="F2" s="128"/>
      <c r="G2" s="128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2026-10-11T15:26:46Z</dcterms:modified>
</cp:coreProperties>
</file>